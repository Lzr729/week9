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356acd2c7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e967e9b2e5c24de4"/>
    <x:sheet xmlns:r="http://schemas.openxmlformats.org/officeDocument/2006/relationships" name="S6规则" sheetId="2" r:id="R1edc41da01a541f2"/>
    <x:sheet xmlns:r="http://schemas.openxmlformats.org/officeDocument/2006/relationships" name="公司角色标签" sheetId="3" r:id="R0391bf3c9889456a"/>
    <x:sheet xmlns:r="http://schemas.openxmlformats.org/officeDocument/2006/relationships" name="两两互补明细" sheetId="4" r:id="R187a37cd908848a4"/>
    <x:sheet xmlns:r="http://schemas.openxmlformats.org/officeDocument/2006/relationships" name="S6矩阵" sheetId="5" r:id="Rfd6a20df584142fb"/>
    <x:sheet xmlns:r="http://schemas.openxmlformats.org/officeDocument/2006/relationships" name="组合约束检查" sheetId="6" r:id="Rbc6d2f50fe584056"/>
    <x:sheet xmlns:r="http://schemas.openxmlformats.org/officeDocument/2006/relationships" name="候选组合画像" sheetId="7" r:id="R3b64294f51d441fe"/>
    <x:sheet xmlns:r="http://schemas.openxmlformats.org/officeDocument/2006/relationships" name="解释边界" sheetId="8" r:id="R14a1e3a8127b44f1"/>
    <x:sheet xmlns:r="http://schemas.openxmlformats.org/officeDocument/2006/relationships" name="验收检查" sheetId="9" r:id="Ra13f5694a9fb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b/>
      <x:sz val="16"/>
      <x:color rgb="FFFFFFFF"/>
      <x:name val="Microsoft YaHei"/>
    </x:font>
    <x:font>
      <x:sz val="10"/>
      <x:color rgb="FF475569"/>
      <x:name val="Microsoft YaHei"/>
    </x:font>
    <x:font>
      <x:b/>
      <x:sz val="11"/>
      <x:color rgb="FFFFFFFF"/>
      <x:name val="Microsoft YaHei"/>
    </x:font>
    <x:font>
      <x:sz val="9"/>
      <x:color rgb="FF111827"/>
      <x:name val="Microsoft YaHei"/>
    </x:font>
    <x:font>
      <x:sz val="9"/>
      <x:color rgb="FF008000"/>
      <x:name val="Microsoft YaHei"/>
    </x:font>
    <x:font>
      <x:sz val="9"/>
      <x:color rgb="FF5B21B6"/>
      <x:name val="Microsoft YaHei"/>
    </x:font>
    <x:font>
      <x:b/>
      <x:sz val="9"/>
      <x:color rgb="FFFFFFFF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  <x:font>
      <x:sz val="11"/>
      <x:color rgb="FF475569"/>
      <x:name val="Microsoft YaHei"/>
    </x:font>
    <x:font>
      <x:b/>
      <x:sz val="9"/>
      <x:color rgb="FF166534"/>
      <x:name val="Microsoft YaHei"/>
    </x:font>
    <x:font>
      <x:b/>
      <x:sz val="11"/>
      <x:color rgb="FF166534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B"/>
      </x:patternFill>
    </x:fill>
    <x:fill>
      <x:patternFill patternType="solid">
        <x:fgColor rgb="FF0F766E"/>
      </x:patternFill>
    </x:fill>
    <x:fill>
      <x:patternFill patternType="solid">
        <x:fgColor rgb="FFEDE9FE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</x:fills>
  <x:borders count="4">
    <x:border/>
    <x:border>
      <x:bottom style="medium">
        <x:color rgb="FF0B1F33"/>
      </x:bottom>
    </x:border>
    <x:border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3" xfId="0" applyNumberFormat="1" applyFont="1" applyFill="1" applyBorder="1"/>
    <x:xf numFmtId="0" fontId="8" fillId="0" borderId="3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 vertical="center"/>
    </x:xf>
    <x:xf numFmtId="200" fontId="7" fillId="4" borderId="0" xfId="0" applyNumberFormat="1" applyFont="1" applyFill="1" applyBorder="1" applyAlignment="1">
      <x:alignment horizontal="center" vertical="center" wrapText="1"/>
    </x:xf>
    <x:xf numFmtId="200" fontId="8" fillId="0" borderId="3" xfId="0" applyNumberFormat="1" applyFont="1" applyFill="1" applyBorder="1" applyAlignment="1">
      <x:alignment horizontal="center" vertical="center"/>
    </x:xf>
    <x:xf numFmtId="200" fontId="8" fillId="6" borderId="3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200" fontId="9" fillId="6" borderId="3" xfId="0" applyNumberFormat="1" applyFont="1" applyFill="1" applyBorder="1" applyAlignment="1">
      <x:alignment horizontal="center" vertical="center"/>
    </x:xf>
    <x:xf numFmtId="0" fontId="9" fillId="6" borderId="3" xfId="0" applyNumberFormat="1" applyFont="1" applyFill="1" applyBorder="1" applyAlignment="1">
      <x:alignment horizontal="center" vertical="center"/>
    </x:xf>
    <x:xf numFmtId="200" fontId="9" fillId="6" borderId="3" xfId="0" applyNumberFormat="1" applyFont="1" applyFill="1" applyBorder="1" applyAlignment="1">
      <x:alignment horizontal="left" vertical="center"/>
    </x:xf>
    <x:xf numFmtId="0" fontId="9" fillId="6" borderId="3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horizontal="center" vertical="top" wrapText="1"/>
    </x:xf>
    <x:xf numFmtId="0" fontId="11" fillId="7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200" fontId="7" fillId="4" borderId="0" xfId="0" applyNumberFormat="1" applyFont="1" applyFill="1" applyBorder="1" applyAlignment="1">
      <x:alignment horizontal="center" vertical="top" wrapText="1"/>
    </x:xf>
    <x:xf numFmtId="200" fontId="9" fillId="6" borderId="3" xfId="0" applyNumberFormat="1" applyFont="1" applyFill="1" applyBorder="1" applyAlignment="1">
      <x:alignment horizontal="left" vertical="top"/>
    </x:xf>
    <x:xf numFmtId="0" fontId="9" fillId="6" borderId="3" xfId="0" applyNumberFormat="1" applyFont="1" applyFill="1" applyBorder="1" applyAlignment="1">
      <x:alignment horizontal="left" vertical="top"/>
    </x:xf>
    <x:xf numFmtId="0" fontId="8" fillId="0" borderId="3" xfId="0" applyNumberFormat="1" applyFont="1" applyFill="1" applyBorder="1" applyAlignment="1">
      <x:alignment horizontal="center" vertical="top"/>
    </x:xf>
    <x:xf numFmtId="0" fontId="10" fillId="3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802f2685f41d9" /><Relationship Type="http://schemas.openxmlformats.org/officeDocument/2006/relationships/theme" Target="/xl/theme/theme1.xml" Id="R42099c38e2134851" /><Relationship Type="http://schemas.openxmlformats.org/officeDocument/2006/relationships/sharedStrings" Target="/xl/sharedStrings.xml" Id="R7a23a611f89640c1" /><Relationship Type="http://schemas.openxmlformats.org/officeDocument/2006/relationships/worksheet" Target="/xl/worksheets/sheet1.xml" Id="Re967e9b2e5c24de4" /><Relationship Type="http://schemas.openxmlformats.org/officeDocument/2006/relationships/worksheet" Target="/xl/worksheets/sheet2.xml" Id="R1edc41da01a541f2" /><Relationship Type="http://schemas.openxmlformats.org/officeDocument/2006/relationships/worksheet" Target="/xl/worksheets/sheet3.xml" Id="R0391bf3c9889456a" /><Relationship Type="http://schemas.openxmlformats.org/officeDocument/2006/relationships/worksheet" Target="/xl/worksheets/sheet4.xml" Id="R187a37cd908848a4" /><Relationship Type="http://schemas.openxmlformats.org/officeDocument/2006/relationships/worksheet" Target="/xl/worksheets/sheet5.xml" Id="Rfd6a20df584142fb" /><Relationship Type="http://schemas.openxmlformats.org/officeDocument/2006/relationships/worksheet" Target="/xl/worksheets/sheet6.xml" Id="Rbc6d2f50fe584056" /><Relationship Type="http://schemas.openxmlformats.org/officeDocument/2006/relationships/worksheet" Target="/xl/worksheets/sheet7.xml" Id="R3b64294f51d441fe" /><Relationship Type="http://schemas.openxmlformats.org/officeDocument/2006/relationships/worksheet" Target="/xl/worksheets/sheet8.xml" Id="R14a1e3a8127b44f1" /><Relationship Type="http://schemas.openxmlformats.org/officeDocument/2006/relationships/worksheet" Target="/xl/worksheets/sheet9.xml" Id="Ra13f5694a9fb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6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0" customHeight="1">
      <x:c r="A1" s="64" t="str">
        <x:v>Week 9 Stage 6C｜案例互补性与候选组合</x:v>
      </x:c>
      <x:c r="B1" s="64"/>
      <x:c r="C1" s="64"/>
      <x:c r="D1" s="64"/>
      <x:c r="E1" s="64"/>
      <x:c r="F1" s="64"/>
      <x:c r="G1" s="64"/>
      <x:c r="H1" s="64"/>
    </x:row>
    <x:row r="2" ht="34" customHeight="1">
      <x:c r="A2" s="65" t="str">
        <x:v>S6是组合属性：先比较两家公司是否提供不同研究信息，再检查P1—P4；本阶段不作最终选择。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 ht="24" customHeight="1">
      <x:c r="A4" s="67" t="str">
        <x:v>A. 输入</x:v>
      </x:c>
      <x:c r="B4" s="67"/>
      <x:c r="C4" s="67"/>
      <x:c r="D4" s="67"/>
      <x:c r="E4" s="67"/>
      <x:c r="F4" s="67"/>
      <x:c r="G4" s="67"/>
      <x:c r="H4" s="67"/>
    </x:row>
    <x:row r="5" ht="38" customHeight="1">
      <x:c r="A5" s="68" t="str">
        <x:v>输入ID</x:v>
      </x:c>
      <x:c r="B5" s="68" t="str">
        <x:v>文件/对象</x:v>
      </x:c>
      <x:c r="C5" s="68" t="str">
        <x:v>用途</x:v>
      </x:c>
      <x:c r="D5" s="68" t="str">
        <x:v>冻结状态</x:v>
      </x:c>
      <x:c r="E5" s="68" t="str">
        <x:v>SHA-256</x:v>
      </x:c>
      <x:c r="F5" s="68" t="str">
        <x:v>数据层级</x:v>
      </x:c>
      <x:c r="G5" s="68" t="str">
        <x:v>是否修改</x:v>
      </x:c>
      <x:c r="H5" s="68" t="str">
        <x:v>备注</x:v>
      </x:c>
    </x:row>
    <x:row r="6" ht="58" customHeight="1">
      <x:c r="A6" s="20" t="str">
        <x:v>I01</x:v>
      </x:c>
      <x:c r="B6" s="20" t="str">
        <x:v>Week8 Standard Dataset v1.0（经Stage6A引用）</x:v>
      </x:c>
      <x:c r="C6" s="20" t="str">
        <x:v>基础事实与计算变量</x:v>
      </x:c>
      <x:c r="D6" s="20" t="str">
        <x:v>FROZEN</x:v>
      </x:c>
      <x:c r="E6" s="20" t="str">
        <x:v>由Stage6A继承</x:v>
      </x:c>
      <x:c r="F6" s="20" t="str">
        <x:v>原文披露/标准化/计算值</x:v>
      </x:c>
      <x:c r="G6" s="20" t="str">
        <x:v>否</x:v>
      </x:c>
      <x:c r="H6" s="20" t="str">
        <x:v>Stage6C不回写基础数据。</x:v>
      </x:c>
    </x:row>
    <x:row r="7" ht="58" customHeight="1">
      <x:c r="A7" s="20" t="str">
        <x:v>I02</x:v>
      </x:c>
      <x:c r="B7" s="20" t="str">
        <x:v>week9_stage06a_company_selection_matrix_base_v1.0.xlsx</x:v>
      </x:c>
      <x:c r="C7" s="20" t="str">
        <x:v>26个候选变量及状态矩阵</x:v>
      </x:c>
      <x:c r="D7" s="20" t="str">
        <x:v>FROZEN_INPUT</x:v>
      </x:c>
      <x:c r="E7" s="20" t="str">
        <x:v>0c9104689bfd2510727dfff1c22cbb5e7f4beece939c54f53f75c7329183e8ba</x:v>
      </x:c>
      <x:c r="F7" s="20" t="str">
        <x:v>计算值+状态</x:v>
      </x:c>
      <x:c r="G7" s="20" t="str">
        <x:v>否</x:v>
      </x:c>
      <x:c r="H7" s="20" t="str">
        <x:v>null、0、STRUCTURAL_NA、NOT_COMPUTABLE继续分离。</x:v>
      </x:c>
    </x:row>
    <x:row r="8" ht="58" customHeight="1">
      <x:c r="A8" s="20" t="str">
        <x:v>I03</x:v>
      </x:c>
      <x:c r="B8" s="20" t="str">
        <x:v>week9_stage06b_company_axis_initial_assessment_v1.0.xlsx</x:v>
      </x:c>
      <x:c r="C8" s="20" t="str">
        <x:v>S1—S5、闸门和公司画像</x:v>
      </x:c>
      <x:c r="D8" s="20" t="str">
        <x:v>FROZEN_INPUT</x:v>
      </x:c>
      <x:c r="E8" s="20" t="str">
        <x:v>2dc4b20c75fa8f2f239adf23705c812e568c63bd702e7a3aec74a67ca383792d</x:v>
      </x:c>
      <x:c r="F8" s="20" t="str">
        <x:v>研究判断</x:v>
      </x:c>
      <x:c r="G8" s="20" t="str">
        <x:v>否</x:v>
      </x:c>
      <x:c r="H8" s="20" t="str">
        <x:v>S6不得改写S1—S5。</x:v>
      </x:c>
    </x:row>
    <x:row r="9" ht="58" customHeight="1">
      <x:c r="A9" s="21" t="str">
        <x:v>I04</x:v>
      </x:c>
      <x:c r="B9" s="21" t="str">
        <x:v>week9_stage05d_academic_commercial_integration_v1.0.xlsx</x:v>
      </x:c>
      <x:c r="C9" s="21" t="str">
        <x:v>S6锚点与P1—P4约束</x:v>
      </x:c>
      <x:c r="D9" s="21" t="str">
        <x:v>FROZEN_INPUT</x:v>
      </x:c>
      <x:c r="E9" s="21" t="str">
        <x:v>e9cfb4e77163d1debaac0051711832a6d74146d54fcd9f3244cf02df7733739f</x:v>
      </x:c>
      <x:c r="F9" s="21" t="str">
        <x:v>研究框架</x:v>
      </x:c>
      <x:c r="G9" s="21" t="str">
        <x:v>否</x:v>
      </x:c>
      <x:c r="H9" s="21" t="str">
        <x:v>互补性不等于公司优劣。</x:v>
      </x:c>
    </x:row>
    <x:row r="10">
      <x:c r="A10" s="66"/>
      <x:c r="B10" s="66"/>
      <x:c r="C10" s="66"/>
      <x:c r="D10" s="66"/>
      <x:c r="E10" s="66"/>
      <x:c r="F10" s="66"/>
      <x:c r="G10" s="66"/>
      <x:c r="H10" s="66"/>
    </x:row>
    <x:row r="11" ht="24" customHeight="1">
      <x:c r="A11" s="67" t="str">
        <x:v>B. 处理</x:v>
      </x:c>
      <x:c r="B11" s="67"/>
      <x:c r="C11" s="67"/>
      <x:c r="D11" s="67"/>
      <x:c r="E11" s="67"/>
      <x:c r="F11" s="67"/>
      <x:c r="G11" s="67"/>
      <x:c r="H11" s="67"/>
    </x:row>
    <x:row r="12" ht="38" customHeight="1">
      <x:c r="A12" s="68" t="str">
        <x:v>步骤</x:v>
      </x:c>
      <x:c r="B12" s="68" t="str">
        <x:v>处理动作</x:v>
      </x:c>
      <x:c r="C12" s="68" t="str">
        <x:v>对象</x:v>
      </x:c>
      <x:c r="D12" s="68" t="str">
        <x:v>方法</x:v>
      </x:c>
      <x:c r="E12" s="68" t="str">
        <x:v>输出</x:v>
      </x:c>
      <x:c r="F12" s="68" t="str">
        <x:v>禁止动作</x:v>
      </x:c>
      <x:c r="G12" s="68" t="str">
        <x:v>责任层级</x:v>
      </x:c>
      <x:c r="H12" s="68" t="str">
        <x:v>状态</x:v>
      </x:c>
    </x:row>
    <x:row r="13" ht="58" customHeight="1">
      <x:c r="A13" s="20" t="n">
        <x:v>1</x:v>
      </x:c>
      <x:c r="B13" s="20" t="str">
        <x:v>建立角色标签</x:v>
      </x:c>
      <x:c r="C13" s="20" t="str">
        <x:v>8家公司</x:v>
      </x:c>
      <x:c r="D13" s="20" t="str">
        <x:v>依据S1—S5画像分类，不重算基础值</x:v>
      </x:c>
      <x:c r="E13" s="20" t="str">
        <x:v>融资/路径/主体/交易/证据标签</x:v>
      </x:c>
      <x:c r="F13" s="20" t="str">
        <x:v>不得用金额单项定义角色</x:v>
      </x:c>
      <x:c r="G13" s="20" t="str">
        <x:v>Stage6C研究判断</x:v>
      </x:c>
      <x:c r="H13" s="20" t="str">
        <x:v>完成</x:v>
      </x:c>
    </x:row>
    <x:row r="14" ht="58" customHeight="1">
      <x:c r="A14" s="20" t="n">
        <x:v>2</x:v>
      </x:c>
      <x:c r="B14" s="20" t="str">
        <x:v>两两比较</x:v>
      </x:c>
      <x:c r="C14" s="20" t="str">
        <x:v>28个无序公司对</x:v>
      </x:c>
      <x:c r="D14" s="20" t="str">
        <x:v>分别比较5类关系</x:v>
      </x:c>
      <x:c r="E14" s="20" t="str">
        <x:v>S6=0/1/2及证据理由</x:v>
      </x:c>
      <x:c r="F14" s="20" t="str">
        <x:v>不得把轴分或差异数相加成公司总分</x:v>
      </x:c>
      <x:c r="G14" s="20" t="str">
        <x:v>Stage6C研究判断</x:v>
      </x:c>
      <x:c r="H14" s="20" t="str">
        <x:v>完成</x:v>
      </x:c>
    </x:row>
    <x:row r="15" ht="58" customHeight="1">
      <x:c r="A15" s="20" t="n">
        <x:v>3</x:v>
      </x:c>
      <x:c r="B15" s="20" t="str">
        <x:v>应用约束</x:v>
      </x:c>
      <x:c r="C15" s="20" t="str">
        <x:v>P1—P4</x:v>
      </x:c>
      <x:c r="D15" s="20" t="str">
        <x:v>公式判定PE/VC、对照、转让和边界角色</x:v>
      </x:c>
      <x:c r="E15" s="20" t="str">
        <x:v>约束状态</x:v>
      </x:c>
      <x:c r="F15" s="20" t="str">
        <x:v>不得把warning自动扣分</x:v>
      </x:c>
      <x:c r="G15" s="20" t="str">
        <x:v>计算值</x:v>
      </x:c>
      <x:c r="H15" s="20" t="str">
        <x:v>完成</x:v>
      </x:c>
    </x:row>
    <x:row r="16" ht="58" customHeight="1">
      <x:c r="A16" s="21" t="n">
        <x:v>4</x:v>
      </x:c>
      <x:c r="B16" s="21" t="str">
        <x:v>设计候选组合</x:v>
      </x:c>
      <x:c r="C16" s="21" t="str">
        <x:v>2—3家公司</x:v>
      </x:c>
      <x:c r="D16" s="21" t="str">
        <x:v>按不同研究问题配置组合</x:v>
      </x:c>
      <x:c r="E16" s="21" t="str">
        <x:v>8个无排名候选组合</x:v>
      </x:c>
      <x:c r="F16" s="21" t="str">
        <x:v>不得输出最终代表性名单</x:v>
      </x:c>
      <x:c r="G16" s="21" t="str">
        <x:v>研究判断</x:v>
      </x:c>
      <x:c r="H16" s="21" t="str">
        <x:v>完成</x:v>
      </x:c>
    </x:row>
    <x:row r="17">
      <x:c r="A17" s="66"/>
      <x:c r="B17" s="66"/>
      <x:c r="C17" s="66"/>
      <x:c r="D17" s="66"/>
      <x:c r="E17" s="66"/>
      <x:c r="F17" s="66"/>
      <x:c r="G17" s="66"/>
      <x:c r="H17" s="66"/>
    </x:row>
    <x:row r="18" ht="24" customHeight="1">
      <x:c r="A18" s="67" t="str">
        <x:v>C. 输出与验收标准</x:v>
      </x:c>
      <x:c r="B18" s="67"/>
      <x:c r="C18" s="67"/>
      <x:c r="D18" s="67"/>
      <x:c r="E18" s="67"/>
      <x:c r="F18" s="67"/>
      <x:c r="G18" s="67"/>
      <x:c r="H18" s="67"/>
    </x:row>
    <x:row r="19" ht="38" customHeight="1">
      <x:c r="A19" s="68" t="str">
        <x:v>类别</x:v>
      </x:c>
      <x:c r="B19" s="68" t="str">
        <x:v>输出/标准</x:v>
      </x:c>
      <x:c r="C19" s="68" t="str">
        <x:v>数量或状态</x:v>
      </x:c>
      <x:c r="D19" s="68" t="str">
        <x:v>验收方式</x:v>
      </x:c>
      <x:c r="E19" s="68" t="str">
        <x:v>结果</x:v>
      </x:c>
      <x:c r="F19" s="68" t="str">
        <x:v>解释边界</x:v>
      </x:c>
      <x:c r="G19" s="68" t="str">
        <x:v>后续动作</x:v>
      </x:c>
      <x:c r="H19" s="68" t="str">
        <x:v>结论</x:v>
      </x:c>
    </x:row>
    <x:row r="20" ht="50" customHeight="1">
      <x:c r="A20" s="20" t="str">
        <x:v>输出</x:v>
      </x:c>
      <x:c r="B20" s="20" t="str">
        <x:v>公司角色标签</x:v>
      </x:c>
      <x:c r="C20" s="20" t="n">
        <x:v>8</x:v>
      </x:c>
      <x:c r="D20" s="20" t="str">
        <x:v>公司ID与Stage6B一致</x:v>
      </x:c>
      <x:c r="E20" s="20" t="str">
        <x:v>通过</x:v>
      </x:c>
      <x:c r="F20" s="20" t="str">
        <x:v>标签是研究分类，不是原始事实</x:v>
      </x:c>
      <x:c r="G20" s="20" t="str">
        <x:v>供组合比较</x:v>
      </x:c>
      <x:c r="H20" s="20" t="str">
        <x:v>ACCEPT</x:v>
      </x:c>
    </x:row>
    <x:row r="21" ht="50" customHeight="1">
      <x:c r="A21" s="20" t="str">
        <x:v>输出</x:v>
      </x:c>
      <x:c r="B21" s="20" t="str">
        <x:v>无序两两组合</x:v>
      </x:c>
      <x:c r="C21" s="20" t="n">
        <x:v>28</x:v>
      </x:c>
      <x:c r="D21" s="20" t="str">
        <x:v>8×7÷2</x:v>
      </x:c>
      <x:c r="E21" s="20" t="str">
        <x:v>通过</x:v>
      </x:c>
      <x:c r="F21" s="20" t="str">
        <x:v>S6不形成公司排名</x:v>
      </x:c>
      <x:c r="G21" s="20" t="str">
        <x:v>查看明细和矩阵</x:v>
      </x:c>
      <x:c r="H21" s="20" t="str">
        <x:v>ACCEPT</x:v>
      </x:c>
    </x:row>
    <x:row r="22" ht="50" customHeight="1">
      <x:c r="A22" s="20" t="str">
        <x:v>输出</x:v>
      </x:c>
      <x:c r="B22" s="20" t="str">
        <x:v>候选组合画像</x:v>
      </x:c>
      <x:c r="C22" s="20" t="n">
        <x:v>8</x:v>
      </x:c>
      <x:c r="D22" s="20" t="str">
        <x:v>每组2—3家公司</x:v>
      </x:c>
      <x:c r="E22" s="20" t="str">
        <x:v>通过</x:v>
      </x:c>
      <x:c r="F22" s="20" t="str">
        <x:v>候选不等于最终选择</x:v>
      </x:c>
      <x:c r="G22" s="20" t="str">
        <x:v>下一阶段人工确认</x:v>
      </x:c>
      <x:c r="H22" s="20" t="str">
        <x:v>ACCEPT</x:v>
      </x:c>
    </x:row>
    <x:row r="23" ht="50" customHeight="1">
      <x:c r="A23" s="21" t="str">
        <x:v>验收</x:v>
      </x:c>
      <x:c r="B23" s="21" t="str">
        <x:v>无总分、无排名、无最终名单</x:v>
      </x:c>
      <x:c r="C23" s="21" t="str">
        <x:v>必须满足</x:v>
      </x:c>
      <x:c r="D23" s="21" t="str">
        <x:v>公式检查+独立审计</x:v>
      </x:c>
      <x:c r="E23" s="21" t="str">
        <x:v>通过</x:v>
      </x:c>
      <x:c r="F23" s="21" t="str">
        <x:v>n=8不支持伪精确排序</x:v>
      </x:c>
      <x:c r="G23" s="21" t="str">
        <x:v>保持阶段边界</x:v>
      </x:c>
      <x:c r="H23" s="21" t="str">
        <x:v>ACCEPT</x:v>
      </x:c>
    </x:row>
  </x:sheetData>
  <x:mergeCells>
    <x:mergeCell ref="A1:H1"/>
    <x:mergeCell ref="A2:H2"/>
    <x:mergeCell ref="A4:H4"/>
    <x:mergeCell ref="A11:H1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54" hidden="0" customWidth="1"/>
    <x:col min="5" max="5" width="48" hidden="0" customWidth="1"/>
    <x:col min="6" max="6" width="48" hidden="0" customWidth="1"/>
    <x:col min="7" max="7" width="48" hidden="0" customWidth="1"/>
    <x:col min="8" max="8" width="52" hidden="0" customWidth="1"/>
    <x:col min="9" max="9" width="54" hidden="0" customWidth="1"/>
    <x:col min="10" max="10" width="54" hidden="0" customWidth="1"/>
  </x:cols>
  <x:sheetData>
    <x:row r="1" ht="30" customHeight="1">
      <x:c r="A1" s="64" t="str">
        <x:v>S6案例组合互补性规则</x:v>
      </x:c>
      <x:c r="B1" s="64"/>
      <x:c r="C1" s="64"/>
      <x:c r="D1" s="64"/>
      <x:c r="E1" s="64"/>
      <x:c r="F1" s="64"/>
      <x:c r="G1" s="64"/>
      <x:c r="H1" s="64"/>
      <x:c r="I1" s="64"/>
      <x:c r="J1" s="64"/>
    </x:row>
    <x:row r="2" ht="34" customHeight="1">
      <x:c r="A2" s="65" t="str">
        <x:v>0—2只描述组合提供的新研究信息；评分不求和、不排名，也不替代P1—P4。</x:v>
      </x:c>
      <x:c r="B2" s="65"/>
      <x:c r="C2" s="65"/>
      <x:c r="D2" s="65"/>
      <x:c r="E2" s="65"/>
      <x:c r="F2" s="65"/>
      <x:c r="G2" s="65"/>
      <x:c r="H2" s="65"/>
      <x:c r="I2" s="65"/>
      <x:c r="J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</x:row>
    <x:row r="4" ht="24" customHeight="1">
      <x:c r="A4" s="67" t="str">
        <x:v>A. S6锚点</x:v>
      </x:c>
      <x:c r="B4" s="67"/>
      <x:c r="C4" s="67"/>
      <x:c r="D4" s="67"/>
      <x:c r="E4" s="67"/>
      <x:c r="F4" s="67"/>
      <x:c r="G4" s="67"/>
      <x:c r="H4" s="67"/>
      <x:c r="I4" s="67"/>
      <x:c r="J4" s="67"/>
    </x:row>
    <x:row r="5" ht="38" customHeight="1">
      <x:c r="A5" s="68" t="str">
        <x:v>S6</x:v>
      </x:c>
      <x:c r="B5" s="68" t="str">
        <x:v>状态</x:v>
      </x:c>
      <x:c r="C5" s="68" t="str">
        <x:v>定义</x:v>
      </x:c>
      <x:c r="D5" s="68" t="str">
        <x:v>允许证据</x:v>
      </x:c>
      <x:c r="E5" s="68" t="str">
        <x:v>不得采用</x:v>
      </x:c>
      <x:c r="F5" s="68" t="str">
        <x:v>典型处理</x:v>
      </x:c>
      <x:c r="G5" s="68" t="str">
        <x:v>是否表示优劣</x:v>
      </x:c>
      <x:c r="H5" s="68" t="str">
        <x:v>与缺失关系</x:v>
      </x:c>
      <x:c r="I5" s="68" t="str">
        <x:v>审计要求</x:v>
      </x:c>
      <x:c r="J5" s="68" t="str">
        <x:v>阶段层级</x:v>
      </x:c>
    </x:row>
    <x:row r="6" ht="84" customHeight="1">
      <x:c r="A6" s="20" t="n">
        <x:v>0</x:v>
      </x:c>
      <x:c r="B6" s="20" t="str">
        <x:v>HIGH_OVERLAP</x:v>
      </x:c>
      <x:c r="C6" s="20" t="str">
        <x:v>核心研究模式高度重复，未增加独立研究信息。</x:v>
      </x:c>
      <x:c r="D6" s="20" t="str">
        <x:v>前五轴的分类关系与解释边界</x:v>
      </x:c>
      <x:c r="E6" s="20" t="str">
        <x:v>融资金额相近/不同的单项判断</x:v>
      </x:c>
      <x:c r="F6" s="20" t="str">
        <x:v>通常不同时作为核心案例</x:v>
      </x:c>
      <x:c r="G6" s="20" t="str">
        <x:v>否</x:v>
      </x:c>
      <x:c r="H6" s="20" t="str">
        <x:v>缺失不能自动制造差异</x:v>
      </x:c>
      <x:c r="I6" s="20" t="str">
        <x:v>写明重合维度</x:v>
      </x:c>
      <x:c r="J6" s="20" t="str">
        <x:v>研究判断</x:v>
      </x:c>
    </x:row>
    <x:row r="7" ht="84" customHeight="1">
      <x:c r="A7" s="20" t="n">
        <x:v>1</x:v>
      </x:c>
      <x:c r="B7" s="20" t="str">
        <x:v>ONE_DIMENSION_COMPLEMENT</x:v>
      </x:c>
      <x:c r="C7" s="20" t="str">
        <x:v>补充一个清晰维度，或仅形成部分结构差异。</x:v>
      </x:c>
      <x:c r="D7" s="20" t="str">
        <x:v>一个实体轴或结构轴的独立差异</x:v>
      </x:c>
      <x:c r="E7" s="20" t="str">
        <x:v>把多个轻微差异机械计数</x:v>
      </x:c>
      <x:c r="F7" s="20" t="str">
        <x:v>限定研究问题后使用</x:v>
      </x:c>
      <x:c r="G7" s="20" t="str">
        <x:v>否</x:v>
      </x:c>
      <x:c r="H7" s="20" t="str">
        <x:v>NOT_SCORED保持边界</x:v>
      </x:c>
      <x:c r="I7" s="20" t="str">
        <x:v>写明唯一主要差异</x:v>
      </x:c>
      <x:c r="J7" s="20" t="str">
        <x:v>研究判断</x:v>
      </x:c>
    </x:row>
    <x:row r="8" ht="84" customHeight="1">
      <x:c r="A8" s="21" t="n">
        <x:v>2</x:v>
      </x:c>
      <x:c r="B8" s="21" t="str">
        <x:v>CLEAR_COMPLEMENT / BOUNDARY_COMPLEMENT</x:v>
      </x:c>
      <x:c r="C8" s="21" t="str">
        <x:v>形成至少两个独立实质差异，或承担明确方法边界角色。</x:v>
      </x:c>
      <x:c r="D8" s="21" t="str">
        <x:v>融资、路径、主体、交易的组合证据；方法边界证据</x:v>
      </x:c>
      <x:c r="E8" s="21" t="str">
        <x:v>S1—S5求和、金额极值、warning扣分</x:v>
      </x:c>
      <x:c r="F8" s="21" t="str">
        <x:v>核心对照或边界补充</x:v>
      </x:c>
      <x:c r="G8" s="21" t="str">
        <x:v>否</x:v>
      </x:c>
      <x:c r="H8" s="21" t="str">
        <x:v>边界案例不得当作0</x:v>
      </x:c>
      <x:c r="I8" s="21" t="str">
        <x:v>写明角色分工</x:v>
      </x:c>
      <x:c r="J8" s="21" t="str">
        <x:v>研究判断</x:v>
      </x:c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</x:row>
    <x:row r="10" ht="24" customHeight="1">
      <x:c r="A10" s="67" t="str">
        <x:v>B. 比较维度</x:v>
      </x:c>
      <x:c r="B10" s="67"/>
      <x:c r="C10" s="67"/>
      <x:c r="D10" s="67"/>
      <x:c r="E10" s="67"/>
      <x:c r="F10" s="67"/>
      <x:c r="G10" s="67"/>
      <x:c r="H10" s="67"/>
      <x:c r="I10" s="67"/>
      <x:c r="J10" s="67"/>
    </x:row>
    <x:row r="11" ht="38" customHeight="1">
      <x:c r="A11" s="68" t="str">
        <x:v>维度</x:v>
      </x:c>
      <x:c r="B11" s="68" t="str">
        <x:v>来源</x:v>
      </x:c>
      <x:c r="C11" s="68" t="str">
        <x:v>比较对象</x:v>
      </x:c>
      <x:c r="D11" s="68" t="str">
        <x:v>关系类型</x:v>
      </x:c>
      <x:c r="E11" s="68" t="str">
        <x:v>CLEAR_CONTRAST</x:v>
      </x:c>
      <x:c r="F11" s="68" t="str">
        <x:v>PARTIAL_COMPLEMENT</x:v>
      </x:c>
      <x:c r="G11" s="68" t="str">
        <x:v>OVERLAP</x:v>
      </x:c>
      <x:c r="H11" s="68" t="str">
        <x:v>BOUNDARY</x:v>
      </x:c>
      <x:c r="I11" s="68" t="str">
        <x:v>是否可单独决定S6=2</x:v>
      </x:c>
      <x:c r="J11" s="68" t="str">
        <x:v>边界</x:v>
      </x:c>
    </x:row>
    <x:row r="12" ht="72" customHeight="1">
      <x:c r="A12" s="20" t="str">
        <x:v>D1 融资画像</x:v>
      </x:c>
      <x:c r="B12" s="20" t="str">
        <x:v>S1</x:v>
      </x:c>
      <x:c r="C12" s="20" t="str">
        <x:v>轮数模式+规模带</x:v>
      </x:c>
      <x:c r="D12" s="20" t="str">
        <x:v>四类关系</x:v>
      </x:c>
      <x:c r="E12" s="20" t="str">
        <x:v>模式与规模同时不同</x:v>
      </x:c>
      <x:c r="F12" s="20" t="str">
        <x:v>仅一个方面不同</x:v>
      </x:c>
      <x:c r="G12" s="20" t="str">
        <x:v>模式和规模近似</x:v>
      </x:c>
      <x:c r="H12" s="20" t="str">
        <x:v>关键融资历史不可重构</x:v>
      </x:c>
      <x:c r="I12" s="20" t="str">
        <x:v>否</x:v>
      </x:c>
      <x:c r="J12" s="20" t="str">
        <x:v>金额下限不是企业价值</x:v>
      </x:c>
    </x:row>
    <x:row r="13" ht="72" customHeight="1">
      <x:c r="A13" s="20" t="str">
        <x:v>D2 PE/VC路径</x:v>
      </x:c>
      <x:c r="B13" s="20" t="str">
        <x:v>S2</x:v>
      </x:c>
      <x:c r="C13" s="20" t="str">
        <x:v>无确认/深度混合/晚期直接</x:v>
      </x:c>
      <x:c r="D13" s="20" t="str">
        <x:v>四类关系</x:v>
      </x:c>
      <x:c r="E13" s="20" t="str">
        <x:v>进入路径明确不同</x:v>
      </x:c>
      <x:c r="F13" s="20" t="str">
        <x:v>—</x:v>
      </x:c>
      <x:c r="G13" s="20" t="str">
        <x:v>路径类型相同</x:v>
      </x:c>
      <x:c r="H13" s="20" t="str">
        <x:v>披露不足无法同尺度比较</x:v>
      </x:c>
      <x:c r="I13" s="20" t="str">
        <x:v>与另一独立维度联合</x:v>
      </x:c>
      <x:c r="J13" s="20" t="str">
        <x:v>未确认不等于不存在</x:v>
      </x:c>
    </x:row>
    <x:row r="14" ht="72" customHeight="1">
      <x:c r="A14" s="20" t="str">
        <x:v>D3 主体结构</x:v>
      </x:c>
      <x:c r="B14" s="20" t="str">
        <x:v>S3</x:v>
      </x:c>
      <x:c r="C14" s="20" t="str">
        <x:v>稀疏/中等/广泛/单轮高密度</x:v>
      </x:c>
      <x:c r="D14" s="20" t="str">
        <x:v>四类关系</x:v>
      </x:c>
      <x:c r="E14" s="20" t="str">
        <x:v>稀疏与广泛等明显差异</x:v>
      </x:c>
      <x:c r="F14" s="20" t="str">
        <x:v>结构相邻但不相同</x:v>
      </x:c>
      <x:c r="G14" s="20" t="str">
        <x:v>结构类别相同</x:v>
      </x:c>
      <x:c r="H14" s="20" t="str">
        <x:v>主体链受披露限制</x:v>
      </x:c>
      <x:c r="I14" s="20" t="str">
        <x:v>与另一独立维度联合</x:v>
      </x:c>
      <x:c r="J14" s="20" t="str">
        <x:v>主体多不等于治理优</x:v>
      </x:c>
    </x:row>
    <x:row r="15" ht="72" customHeight="1">
      <x:c r="A15" s="20" t="str">
        <x:v>D4 一级/二级交易</x:v>
      </x:c>
      <x:c r="B15" s="20" t="str">
        <x:v>S4</x:v>
      </x:c>
      <x:c r="C15" s="20" t="str">
        <x:v>无转让/活跃/零对价/正对价</x:v>
      </x:c>
      <x:c r="D15" s="20" t="str">
        <x:v>四类关系</x:v>
      </x:c>
      <x:c r="E15" s="20" t="str">
        <x:v>有无或零/正对价差异</x:v>
      </x:c>
      <x:c r="F15" s="20" t="str">
        <x:v>均有转让但强度不同</x:v>
      </x:c>
      <x:c r="G15" s="20" t="str">
        <x:v>交易模式相同</x:v>
      </x:c>
      <x:c r="H15" s="20" t="str">
        <x:v>只有边界性转让信息</x:v>
      </x:c>
      <x:c r="I15" s="20" t="str">
        <x:v>与另一独立维度联合</x:v>
      </x:c>
      <x:c r="J15" s="20" t="str">
        <x:v>转让资金不进入发行人</x:v>
      </x:c>
    </x:row>
    <x:row r="16" ht="72" customHeight="1">
      <x:c r="A16" s="21" t="str">
        <x:v>D5 证据角色</x:v>
      </x:c>
      <x:c r="B16" s="21" t="str">
        <x:v>S5+G0—G2</x:v>
      </x:c>
      <x:c r="C16" s="21" t="str">
        <x:v>清洁/限制/警告/方法边界</x:v>
      </x:c>
      <x:c r="D16" s="21" t="str">
        <x:v>四类关系</x:v>
      </x:c>
      <x:c r="E16" s="21" t="str">
        <x:v>—</x:v>
      </x:c>
      <x:c r="F16" s="21" t="str">
        <x:v>解释强度不同</x:v>
      </x:c>
      <x:c r="G16" s="21" t="str">
        <x:v>证据条件相近</x:v>
      </x:c>
      <x:c r="H16" s="21" t="str">
        <x:v>方法边界补充</x:v>
      </x:c>
      <x:c r="I16" s="21" t="str">
        <x:v>仅方法边界可形成边界型2分</x:v>
      </x:c>
      <x:c r="J16" s="21" t="str">
        <x:v>不评价公司经营质量</x:v>
      </x:c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</x:row>
    <x:row r="18" ht="24" customHeight="1">
      <x:c r="A18" s="67" t="str">
        <x:v>C. 组合约束</x:v>
      </x:c>
      <x:c r="B18" s="67"/>
      <x:c r="C18" s="67"/>
      <x:c r="D18" s="67"/>
      <x:c r="E18" s="67"/>
      <x:c r="F18" s="67"/>
      <x:c r="G18" s="67"/>
      <x:c r="H18" s="67"/>
      <x:c r="I18" s="67"/>
      <x:c r="J18" s="67"/>
    </x:row>
    <x:row r="19" ht="38" customHeight="1">
      <x:c r="A19" s="68" t="str">
        <x:v>约束</x:v>
      </x:c>
      <x:c r="B19" s="68" t="str">
        <x:v>要求</x:v>
      </x:c>
      <x:c r="C19" s="68" t="str">
        <x:v>PASS条件</x:v>
      </x:c>
      <x:c r="D19" s="68" t="str">
        <x:v>LIMITED条件</x:v>
      </x:c>
      <x:c r="E19" s="68" t="str">
        <x:v>FAIL/不满足</x:v>
      </x:c>
      <x:c r="F19" s="68" t="str">
        <x:v>作用</x:v>
      </x:c>
      <x:c r="G19" s="68" t="str">
        <x:v>是否计分</x:v>
      </x:c>
      <x:c r="H19" s="68" t="str">
        <x:v>适用对象</x:v>
      </x:c>
      <x:c r="I19" s="68" t="str">
        <x:v>Stage6C处理</x:v>
      </x:c>
      <x:c r="J19" s="68" t="str">
        <x:v>解释边界</x:v>
      </x:c>
    </x:row>
    <x:row r="20" ht="70" customHeight="1">
      <x:c r="A20" s="20" t="str">
        <x:v>P1</x:v>
      </x:c>
      <x:c r="B20" s="20" t="str">
        <x:v>至少一家具备可识别PE/VC进入路径</x:v>
      </x:c>
      <x:c r="C20" s="20" t="str">
        <x:v>组合中PE/VC路径公司≥1</x:v>
      </x:c>
      <x:c r="D20" s="20" t="str">
        <x:v>—</x:v>
      </x:c>
      <x:c r="E20" s="20" t="str">
        <x:v>数量=0</x:v>
      </x:c>
      <x:c r="F20" s="20" t="str">
        <x:v>保证机制问题有实体支撑</x:v>
      </x:c>
      <x:c r="G20" s="20" t="str">
        <x:v>否</x:v>
      </x:c>
      <x:c r="H20" s="20" t="str">
        <x:v>候选组合</x:v>
      </x:c>
      <x:c r="I20" s="20" t="str">
        <x:v>必须PASS</x:v>
      </x:c>
      <x:c r="J20" s="20" t="str">
        <x:v>不是机构质量评价</x:v>
      </x:c>
    </x:row>
    <x:row r="21" ht="70" customHeight="1">
      <x:c r="A21" s="20" t="str">
        <x:v>P2</x:v>
      </x:c>
      <x:c r="B21" s="20" t="str">
        <x:v>至少一家无确认PE/VC或路径明显不同</x:v>
      </x:c>
      <x:c r="C21" s="20" t="str">
        <x:v>无确认PE/VC≥1，或深度与晚期路径并存</x:v>
      </x:c>
      <x:c r="D21" s="20" t="str">
        <x:v>边界公司不能单独满足</x:v>
      </x:c>
      <x:c r="E21" s="20" t="str">
        <x:v>既无对照也无替代路径</x:v>
      </x:c>
      <x:c r="F21" s="20" t="str">
        <x:v>形成路径对照</x:v>
      </x:c>
      <x:c r="G21" s="20" t="str">
        <x:v>否</x:v>
      </x:c>
      <x:c r="H21" s="20" t="str">
        <x:v>候选组合</x:v>
      </x:c>
      <x:c r="I21" s="20" t="str">
        <x:v>必须PASS</x:v>
      </x:c>
      <x:c r="J21" s="20" t="str">
        <x:v>未确认不等于绝对不存在</x:v>
      </x:c>
    </x:row>
    <x:row r="22" ht="70" customHeight="1">
      <x:c r="A22" s="20" t="str">
        <x:v>P3</x:v>
      </x:c>
      <x:c r="B22" s="20" t="str">
        <x:v>一级/二级主题至少一家转让数据可用</x:v>
      </x:c>
      <x:c r="C22" s="20" t="str">
        <x:v>完整转让案例≥1</x:v>
      </x:c>
      <x:c r="D22" s="20" t="str">
        <x:v>只有边界转让信息</x:v>
      </x:c>
      <x:c r="E22" s="20" t="str">
        <x:v>无可用转让信息</x:v>
      </x:c>
      <x:c r="F22" s="20" t="str">
        <x:v>支撑交易主题</x:v>
      </x:c>
      <x:c r="G22" s="20" t="str">
        <x:v>否</x:v>
      </x:c>
      <x:c r="H22" s="20" t="str">
        <x:v>本阶段全部候选</x:v>
      </x:c>
      <x:c r="I22" s="20" t="str">
        <x:v>必须PASS_FULL</x:v>
      </x:c>
      <x:c r="J22" s="20" t="str">
        <x:v>转让对价不计入融资</x:v>
      </x:c>
    </x:row>
    <x:row r="23" ht="70" customHeight="1">
      <x:c r="A23" s="21" t="str">
        <x:v>P4</x:v>
      </x:c>
      <x:c r="B23" s="21" t="str">
        <x:v>低披露案例只作边界角色</x:v>
      </x:c>
      <x:c r="C23" s="21" t="str">
        <x:v>边界案例之外至少两家核心公司</x:v>
      </x:c>
      <x:c r="D23" s="21" t="str">
        <x:v>两家公司组合中仅一家公司为核心</x:v>
      </x:c>
      <x:c r="E23" s="21" t="str">
        <x:v>边界案例承担实质核心</x:v>
      </x:c>
      <x:c r="F23" s="21" t="str">
        <x:v>保护解释边界</x:v>
      </x:c>
      <x:c r="G23" s="21" t="str">
        <x:v>否</x:v>
      </x:c>
      <x:c r="H23" s="21" t="str">
        <x:v>含影石创新组合</x:v>
      </x:c>
      <x:c r="I23" s="21" t="str">
        <x:v>PASS或PASS_WITH_LIMITATION</x:v>
      </x:c>
      <x:c r="J23" s="21" t="str">
        <x:v>缺失不是0</x:v>
      </x:c>
    </x:row>
  </x:sheetData>
  <x:mergeCells>
    <x:mergeCell ref="A1:J1"/>
    <x:mergeCell ref="A2:J2"/>
    <x:mergeCell ref="A4:J4"/>
    <x:mergeCell ref="A10:J10"/>
    <x:mergeCell ref="A18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30" hidden="0" customWidth="1"/>
    <x:col min="5" max="5" width="70" hidden="0" customWidth="1"/>
    <x:col min="6" max="6" width="24" hidden="0" customWidth="1"/>
    <x:col min="7" max="7" width="18" hidden="0" customWidth="1"/>
    <x:col min="8" max="8" width="24" hidden="0" customWidth="1"/>
    <x:col min="9" max="9" width="28" hidden="0" customWidth="1"/>
    <x:col min="10" max="10" width="28" hidden="0" customWidth="1"/>
    <x:col min="11" max="11" width="22" hidden="0" customWidth="1"/>
    <x:col min="12" max="12" width="18" hidden="0" customWidth="1"/>
    <x:col min="13" max="13" width="20" hidden="0" customWidth="1"/>
    <x:col min="14" max="14" width="20" hidden="0" customWidth="1"/>
    <x:col min="15" max="15" width="20" hidden="0" customWidth="1"/>
    <x:col min="16" max="16" width="58" hidden="0" customWidth="1"/>
    <x:col min="17" max="17" width="58" hidden="0" customWidth="1"/>
    <x:col min="18" max="18" width="32" hidden="0" customWidth="1"/>
  </x:cols>
  <x:sheetData>
    <x:row r="1" ht="30" customHeight="1">
      <x:c r="A1" s="64" t="str">
        <x:v>八家公司组合角色标签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</x:row>
    <x:row r="2" ht="34" customHeight="1">
      <x:c r="A2" s="65" t="str">
        <x:v>B—E来自Stage6B；F—K为Stage6C研究分类；L—O为公式标志，供P1—P4审计。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</x:row>
    <x:row r="4" ht="38" customHeight="1">
      <x:c r="A4" s="68" t="str">
        <x:v>公司ID</x:v>
      </x:c>
      <x:c r="B4" s="68" t="str">
        <x:v>公司名称</x:v>
      </x:c>
      <x:c r="C4" s="68" t="str">
        <x:v>S1—S5向量</x:v>
      </x:c>
      <x:c r="D4" s="68" t="str">
        <x:v>Stage6B资格</x:v>
      </x:c>
      <x:c r="E4" s="68" t="str">
        <x:v>Stage6B差异画像</x:v>
      </x:c>
      <x:c r="F4" s="68" t="str">
        <x:v>轮数模式</x:v>
      </x:c>
      <x:c r="G4" s="68" t="str">
        <x:v>规模带</x:v>
      </x:c>
      <x:c r="H4" s="68" t="str">
        <x:v>PE/VC路径</x:v>
      </x:c>
      <x:c r="I4" s="68" t="str">
        <x:v>主体结构</x:v>
      </x:c>
      <x:c r="J4" s="68" t="str">
        <x:v>转让结构</x:v>
      </x:c>
      <x:c r="K4" s="68" t="str">
        <x:v>证据角色</x:v>
      </x:c>
      <x:c r="L4" s="68" t="str">
        <x:v>PEVC路径标志</x:v>
      </x:c>
      <x:c r="M4" s="68" t="str">
        <x:v>非PEVC对照标志</x:v>
      </x:c>
      <x:c r="N4" s="68" t="str">
        <x:v>完整转让标志</x:v>
      </x:c>
      <x:c r="O4" s="68" t="str">
        <x:v>方法边界标志</x:v>
      </x:c>
      <x:c r="P4" s="68" t="str">
        <x:v>Stage6C组合角色</x:v>
      </x:c>
      <x:c r="Q4" s="68" t="str">
        <x:v>解释边界</x:v>
      </x:c>
      <x:c r="R4" s="68" t="str">
        <x:v>数据层级</x:v>
      </x:c>
    </x:row>
    <x:row r="5" ht="104" customHeight="1">
      <x:c r="A5" s="28" t="str">
        <x:v>301563</x:v>
      </x:c>
      <x:c r="B5" s="22" t="str">
        <x:v>云汉芯城</x:v>
      </x:c>
      <x:c r="C5" s="22" t="str">
        <x:v>2|2|2|2|1</x:v>
      </x:c>
      <x:c r="D5" s="22" t="str">
        <x:v>ELIGIBLE_WITH_LIMITATIONS</x:v>
      </x:c>
      <x:c r="E5" s="22" t="str">
        <x:v>多轮、PE/VC参与深且路径多样、主体结构广、转让活跃；实体信息丰富但金额覆盖和披露限制明显。</x:v>
      </x:c>
      <x:c r="F5" s="20" t="str">
        <x:v>MULTI_MANY</x:v>
      </x:c>
      <x:c r="G5" s="20" t="str">
        <x:v>MID</x:v>
      </x:c>
      <x:c r="H5" s="20" t="str">
        <x:v>DEEP_MIXED</x:v>
      </x:c>
      <x:c r="I5" s="20" t="str">
        <x:v>BROAD_DENSE</x:v>
      </x:c>
      <x:c r="J5" s="20" t="str">
        <x:v>ACTIVE_HIGH</x:v>
      </x:c>
      <x:c r="K5" s="20" t="str">
        <x:v>LIMITED</x:v>
      </x:c>
      <x:c r="L5" s="26" t="n">
        <x:f>IF(OR(H5="DEEP_MIXED",H5="LATE_DIRECT"),1,0)</x:f>
        <x:v>1</x:v>
      </x:c>
      <x:c r="M5" s="26" t="n">
        <x:f>IF(H5="NO_CONFIRMED",1,0)</x:f>
        <x:v>0</x:v>
      </x:c>
      <x:c r="N5" s="26" t="n">
        <x:f>IF(OR(J5="ACTIVE_HIGH",J5="ZERO_PRICE_EVENT",J5="POSITIVE_LOW"),1,0)</x:f>
        <x:v>1</x:v>
      </x:c>
      <x:c r="O5" s="26" t="n">
        <x:f>IF(K5="METHOD_BOUNDARY",1,0)</x:f>
        <x:v>0</x:v>
      </x:c>
      <x:c r="P5" s="20" t="str">
        <x:v>多轮、深度PE/VC路径与活跃转让的机制锚点</x:v>
      </x:c>
      <x:c r="Q5" s="20" t="str">
        <x:v>金额覆盖率和日期覆盖率不足，披露限制需伴随结论。</x:v>
      </x:c>
      <x:c r="R5" s="20" t="str">
        <x:v>Stage6B输入 + Stage6C研究分类</x:v>
      </x:c>
    </x:row>
    <x:row r="6" ht="104" customHeight="1">
      <x:c r="A6" s="28" t="str">
        <x:v>301581</x:v>
      </x:c>
      <x:c r="B6" s="22" t="str">
        <x:v>黄山谷捷</x:v>
      </x:c>
      <x:c r="C6" s="22" t="str">
        <x:v>2|0|1|1|1</x:v>
      </x:c>
      <x:c r="D6" s="22" t="str">
        <x:v>ELIGIBLE</x:v>
      </x:c>
      <x:c r="E6" s="22" t="str">
        <x:v>两轮中等规模且高度集中、无确认PE/VC、存在一次零对价转让；适合作为非PE/VC与交易边界对照。</x:v>
      </x:c>
      <x:c r="F6" s="20" t="str">
        <x:v>TWO_CONCENTRATED</x:v>
      </x:c>
      <x:c r="G6" s="20" t="str">
        <x:v>MID</x:v>
      </x:c>
      <x:c r="H6" s="20" t="str">
        <x:v>NO_CONFIRMED</x:v>
      </x:c>
      <x:c r="I6" s="20" t="str">
        <x:v>MODERATE</x:v>
      </x:c>
      <x:c r="J6" s="20" t="str">
        <x:v>ZERO_PRICE_EVENT</x:v>
      </x:c>
      <x:c r="K6" s="20" t="str">
        <x:v>CLEAN</x:v>
      </x:c>
      <x:c r="L6" s="26" t="n">
        <x:f>IF(OR(H6="DEEP_MIXED",H6="LATE_DIRECT"),1,0)</x:f>
        <x:v>0</x:v>
      </x:c>
      <x:c r="M6" s="26" t="n">
        <x:f>IF(H6="NO_CONFIRMED",1,0)</x:f>
        <x:v>1</x:v>
      </x:c>
      <x:c r="N6" s="26" t="n">
        <x:f>IF(OR(J6="ACTIVE_HIGH",J6="ZERO_PRICE_EVENT",J6="POSITIVE_LOW"),1,0)</x:f>
        <x:v>1</x:v>
      </x:c>
      <x:c r="O6" s="26" t="n">
        <x:f>IF(K6="METHOD_BOUNDARY",1,0)</x:f>
        <x:v>0</x:v>
      </x:c>
      <x:c r="P6" s="20" t="str">
        <x:v>无确认PE/VC、零对价转让的清晰条件案例</x:v>
      </x:c>
      <x:c r="Q6" s="20" t="str">
        <x:v>金额均为计算型，零对价仅按冻结披露解释。</x:v>
      </x:c>
      <x:c r="R6" s="20" t="str">
        <x:v>Stage6B输入 + Stage6C研究分类</x:v>
      </x:c>
    </x:row>
    <x:row r="7" ht="104" customHeight="1">
      <x:c r="A7" s="28" t="str">
        <x:v>603418</x:v>
      </x:c>
      <x:c r="B7" s="22" t="str">
        <x:v>友升股份</x:v>
      </x:c>
      <x:c r="C7" s="22" t="str">
        <x:v>2|1|1|0|1</x:v>
      </x:c>
      <x:c r="D7" s="22" t="str">
        <x:v>ELIGIBLE_WITH_WARNINGS</x:v>
      </x:c>
      <x:c r="E7" s="22" t="str">
        <x:v>两轮高规模且集中、PE/VC较晚直接进入、无转让；主体桥接警告较多。</x:v>
      </x:c>
      <x:c r="F7" s="20" t="str">
        <x:v>TWO_CONCENTRATED</x:v>
      </x:c>
      <x:c r="G7" s="20" t="str">
        <x:v>HIGH</x:v>
      </x:c>
      <x:c r="H7" s="20" t="str">
        <x:v>LATE_DIRECT</x:v>
      </x:c>
      <x:c r="I7" s="20" t="str">
        <x:v>BROAD_CONCENTRATED</x:v>
      </x:c>
      <x:c r="J7" s="20" t="str">
        <x:v>NONE</x:v>
      </x:c>
      <x:c r="K7" s="20" t="str">
        <x:v>WARNING</x:v>
      </x:c>
      <x:c r="L7" s="26" t="n">
        <x:f>IF(OR(H7="DEEP_MIXED",H7="LATE_DIRECT"),1,0)</x:f>
        <x:v>1</x:v>
      </x:c>
      <x:c r="M7" s="26" t="n">
        <x:f>IF(H7="NO_CONFIRMED",1,0)</x:f>
        <x:v>0</x:v>
      </x:c>
      <x:c r="N7" s="26" t="n">
        <x:f>IF(OR(J7="ACTIVE_HIGH",J7="ZERO_PRICE_EVENT",J7="POSITIVE_LOW"),1,0)</x:f>
        <x:v>0</x:v>
      </x:c>
      <x:c r="O7" s="26" t="n">
        <x:f>IF(K7="METHOD_BOUNDARY",1,0)</x:f>
        <x:v>0</x:v>
      </x:c>
      <x:c r="P7" s="20" t="str">
        <x:v>高规模、较晚直接PE/VC进入的路径案例</x:v>
      </x:c>
      <x:c r="Q7" s="20" t="str">
        <x:v>主体及PE/VC桥接警告较多。</x:v>
      </x:c>
      <x:c r="R7" s="20" t="str">
        <x:v>Stage6B输入 + Stage6C研究分类</x:v>
      </x:c>
    </x:row>
    <x:row r="8" ht="104" customHeight="1">
      <x:c r="A8" s="28" t="str">
        <x:v>688758</x:v>
      </x:c>
      <x:c r="B8" s="22" t="str">
        <x:v>赛分科技</x:v>
      </x:c>
      <x:c r="C8" s="22" t="str">
        <x:v>2|0|1|2|2</x:v>
      </x:c>
      <x:c r="D8" s="22" t="str">
        <x:v>ELIGIBLE</x:v>
      </x:c>
      <x:c r="E8" s="22" t="str">
        <x:v>三轮高规模、无确认PE/VC、有可计算二级交易且数据质量较好。</x:v>
      </x:c>
      <x:c r="F8" s="20" t="str">
        <x:v>THREE_CONCENTRATED</x:v>
      </x:c>
      <x:c r="G8" s="20" t="str">
        <x:v>HIGH</x:v>
      </x:c>
      <x:c r="H8" s="20" t="str">
        <x:v>NO_CONFIRMED</x:v>
      </x:c>
      <x:c r="I8" s="20" t="str">
        <x:v>BROAD_CONCENTRATED</x:v>
      </x:c>
      <x:c r="J8" s="20" t="str">
        <x:v>POSITIVE_LOW</x:v>
      </x:c>
      <x:c r="K8" s="20" t="str">
        <x:v>CLEAN</x:v>
      </x:c>
      <x:c r="L8" s="26" t="n">
        <x:f>IF(OR(H8="DEEP_MIXED",H8="LATE_DIRECT"),1,0)</x:f>
        <x:v>0</x:v>
      </x:c>
      <x:c r="M8" s="26" t="n">
        <x:f>IF(H8="NO_CONFIRMED",1,0)</x:f>
        <x:v>1</x:v>
      </x:c>
      <x:c r="N8" s="26" t="n">
        <x:f>IF(OR(J8="ACTIVE_HIGH",J8="ZERO_PRICE_EVENT",J8="POSITIVE_LOW"),1,0)</x:f>
        <x:v>1</x:v>
      </x:c>
      <x:c r="O8" s="26" t="n">
        <x:f>IF(K8="METHOD_BOUNDARY",1,0)</x:f>
        <x:v>0</x:v>
      </x:c>
      <x:c r="P8" s="20" t="str">
        <x:v>高规模、无确认PE/VC且二级交易可计算的对照锚点</x:v>
      </x:c>
      <x:c r="Q8" s="20" t="str">
        <x:v>未确认PE/VC不等于绝对不存在机构投资者。</x:v>
      </x:c>
      <x:c r="R8" s="20" t="str">
        <x:v>Stage6B输入 + Stage6C研究分类</x:v>
      </x:c>
    </x:row>
    <x:row r="9" ht="104" customHeight="1">
      <x:c r="A9" s="28" t="str">
        <x:v>688775</x:v>
      </x:c>
      <x:c r="B9" s="22" t="str">
        <x:v>影石创新</x:v>
      </x:c>
      <x:c r="C9" s="22" t="str">
        <x:v>NA|0|0|1|0</x:v>
      </x:c>
      <x:c r="D9" s="22" t="str">
        <x:v>METHOD_BOUNDARY_ONLY</x:v>
      </x:c>
      <x:c r="E9" s="22" t="str">
        <x:v>融资历史不可重构但存在股权转让；只能作为披露、缺失和方法边界案例。</x:v>
      </x:c>
      <x:c r="F9" s="20" t="str">
        <x:v>UNRECONSTRUCTABLE</x:v>
      </x:c>
      <x:c r="G9" s="20" t="str">
        <x:v>UNKNOWN</x:v>
      </x:c>
      <x:c r="H9" s="20" t="str">
        <x:v>BOUNDARY_UNKNOWN</x:v>
      </x:c>
      <x:c r="I9" s="20" t="str">
        <x:v>SPARSE_BOUNDARY</x:v>
      </x:c>
      <x:c r="J9" s="20" t="str">
        <x:v>TRANSFER_ONLY_BOUNDARY</x:v>
      </x:c>
      <x:c r="K9" s="20" t="str">
        <x:v>METHOD_BOUNDARY</x:v>
      </x:c>
      <x:c r="L9" s="26" t="n">
        <x:f>IF(OR(H9="DEEP_MIXED",H9="LATE_DIRECT"),1,0)</x:f>
        <x:v>0</x:v>
      </x:c>
      <x:c r="M9" s="26" t="n">
        <x:f>IF(H9="NO_CONFIRMED",1,0)</x:f>
        <x:v>0</x:v>
      </x:c>
      <x:c r="N9" s="26" t="n">
        <x:f>IF(OR(J9="ACTIVE_HIGH",J9="ZERO_PRICE_EVENT",J9="POSITIVE_LOW"),1,0)</x:f>
        <x:v>0</x:v>
      </x:c>
      <x:c r="O9" s="26" t="n">
        <x:f>IF(K9="METHOD_BOUNDARY",1,0)</x:f>
        <x:v>1</x:v>
      </x:c>
      <x:c r="P9" s="20" t="str">
        <x:v>融资历史不可重构的披露与方法边界案例</x:v>
      </x:c>
      <x:c r="Q9" s="20" t="str">
        <x:v>只能承担方法边界角色，不作为核心实质结论来源。</x:v>
      </x:c>
      <x:c r="R9" s="20" t="str">
        <x:v>Stage6B输入 + Stage6C研究分类</x:v>
      </x:c>
    </x:row>
    <x:row r="10" ht="104" customHeight="1">
      <x:c r="A10" s="28" t="str">
        <x:v>920100</x:v>
      </x:c>
      <x:c r="B10" s="22" t="str">
        <x:v>三协电机</x:v>
      </x:c>
      <x:c r="C10" s="22" t="str">
        <x:v>2|1|1|0|1</x:v>
      </x:c>
      <x:c r="D10" s="22" t="str">
        <x:v>ELIGIBLE_WITH_LIMITATIONS</x:v>
      </x:c>
      <x:c r="E10" s="22" t="str">
        <x:v>两轮较低规模、PE/VC较晚直接进入、无转让；路径和证据主要依赖补充摘要。</x:v>
      </x:c>
      <x:c r="F10" s="20" t="str">
        <x:v>TWO_BALANCED</x:v>
      </x:c>
      <x:c r="G10" s="20" t="str">
        <x:v>LOW</x:v>
      </x:c>
      <x:c r="H10" s="20" t="str">
        <x:v>LATE_DIRECT</x:v>
      </x:c>
      <x:c r="I10" s="20" t="str">
        <x:v>BROAD_CONCENTRATED</x:v>
      </x:c>
      <x:c r="J10" s="20" t="str">
        <x:v>NONE</x:v>
      </x:c>
      <x:c r="K10" s="20" t="str">
        <x:v>LIMITED</x:v>
      </x:c>
      <x:c r="L10" s="26" t="n">
        <x:f>IF(OR(H10="DEEP_MIXED",H10="LATE_DIRECT"),1,0)</x:f>
        <x:v>1</x:v>
      </x:c>
      <x:c r="M10" s="26" t="n">
        <x:f>IF(H10="NO_CONFIRMED",1,0)</x:f>
        <x:v>0</x:v>
      </x:c>
      <x:c r="N10" s="26" t="n">
        <x:f>IF(OR(J10="ACTIVE_HIGH",J10="ZERO_PRICE_EVENT",J10="POSITIVE_LOW"),1,0)</x:f>
        <x:v>0</x:v>
      </x:c>
      <x:c r="O10" s="26" t="n">
        <x:f>IF(K10="METHOD_BOUNDARY",1,0)</x:f>
        <x:v>0</x:v>
      </x:c>
      <x:c r="P10" s="20" t="str">
        <x:v>低规模、较晚直接PE/VC进入的路径对照</x:v>
      </x:c>
      <x:c r="Q10" s="20" t="str">
        <x:v>路径和证据主要依赖补充摘要。</x:v>
      </x:c>
      <x:c r="R10" s="20" t="str">
        <x:v>Stage6B输入 + Stage6C研究分类</x:v>
      </x:c>
    </x:row>
    <x:row r="11" ht="104" customHeight="1">
      <x:c r="A11" s="28" t="str">
        <x:v>920116</x:v>
      </x:c>
      <x:c r="B11" s="22" t="str">
        <x:v>星图测控</x:v>
      </x:c>
      <x:c r="C11" s="22" t="str">
        <x:v>1|0|1|0|2</x:v>
      </x:c>
      <x:c r="D11" s="22" t="str">
        <x:v>ELIGIBLE_WITH_WARNINGS</x:v>
      </x:c>
      <x:c r="E11" s="22" t="str">
        <x:v>单轮、无确认PE/VC、单轮投资方较多、证据密度高；适合作为简单结构对照。</x:v>
      </x:c>
      <x:c r="F11" s="20" t="str">
        <x:v>SINGLE</x:v>
      </x:c>
      <x:c r="G11" s="20" t="str">
        <x:v>MID</x:v>
      </x:c>
      <x:c r="H11" s="20" t="str">
        <x:v>NO_CONFIRMED</x:v>
      </x:c>
      <x:c r="I11" s="20" t="str">
        <x:v>SINGLE_DENSE</x:v>
      </x:c>
      <x:c r="J11" s="20" t="str">
        <x:v>NONE</x:v>
      </x:c>
      <x:c r="K11" s="20" t="str">
        <x:v>WARNING</x:v>
      </x:c>
      <x:c r="L11" s="26" t="n">
        <x:f>IF(OR(H11="DEEP_MIXED",H11="LATE_DIRECT"),1,0)</x:f>
        <x:v>0</x:v>
      </x:c>
      <x:c r="M11" s="26" t="n">
        <x:f>IF(H11="NO_CONFIRMED",1,0)</x:f>
        <x:v>1</x:v>
      </x:c>
      <x:c r="N11" s="26" t="n">
        <x:f>IF(OR(J11="ACTIVE_HIGH",J11="ZERO_PRICE_EVENT",J11="POSITIVE_LOW"),1,0)</x:f>
        <x:v>0</x:v>
      </x:c>
      <x:c r="O11" s="26" t="n">
        <x:f>IF(K11="METHOD_BOUNDARY",1,0)</x:f>
        <x:v>0</x:v>
      </x:c>
      <x:c r="P11" s="20" t="str">
        <x:v>单轮、投资方密度较高的非PE/VC简单结构对照</x:v>
      </x:c>
      <x:c r="Q11" s="20" t="str">
        <x:v>单轮密度具有机械性，主体名称桥接警告需保留。</x:v>
      </x:c>
      <x:c r="R11" s="20" t="str">
        <x:v>Stage6B输入 + Stage6C研究分类</x:v>
      </x:c>
    </x:row>
    <x:row r="12" ht="104" customHeight="1">
      <x:c r="A12" s="29" t="str">
        <x:v>001282</x:v>
      </x:c>
      <x:c r="B12" s="23" t="str">
        <x:v>三联锻造</x:v>
      </x:c>
      <x:c r="C12" s="23" t="str">
        <x:v>1|0|0|0|1</x:v>
      </x:c>
      <x:c r="D12" s="23" t="str">
        <x:v>ELIGIBLE_WITH_LIMITATIONS</x:v>
      </x:c>
      <x:c r="E12" s="23" t="str">
        <x:v>单轮、低规模、无确认PE/VC、无转让；适合作为简单融资结构对照，但披露和计算来源限制明显。</x:v>
      </x:c>
      <x:c r="F12" s="21" t="str">
        <x:v>SINGLE</x:v>
      </x:c>
      <x:c r="G12" s="21" t="str">
        <x:v>LOW</x:v>
      </x:c>
      <x:c r="H12" s="21" t="str">
        <x:v>NO_CONFIRMED</x:v>
      </x:c>
      <x:c r="I12" s="21" t="str">
        <x:v>SPARSE</x:v>
      </x:c>
      <x:c r="J12" s="21" t="str">
        <x:v>NONE</x:v>
      </x:c>
      <x:c r="K12" s="21" t="str">
        <x:v>LIMITED</x:v>
      </x:c>
      <x:c r="L12" s="27" t="n">
        <x:f>IF(OR(H12="DEEP_MIXED",H12="LATE_DIRECT"),1,0)</x:f>
        <x:v>0</x:v>
      </x:c>
      <x:c r="M12" s="27" t="n">
        <x:f>IF(H12="NO_CONFIRMED",1,0)</x:f>
        <x:v>1</x:v>
      </x:c>
      <x:c r="N12" s="27" t="n">
        <x:f>IF(OR(J12="ACTIVE_HIGH",J12="ZERO_PRICE_EVENT",J12="POSITIVE_LOW"),1,0)</x:f>
        <x:v>0</x:v>
      </x:c>
      <x:c r="O12" s="27" t="n">
        <x:f>IF(K12="METHOD_BOUNDARY",1,0)</x:f>
        <x:v>0</x:v>
      </x:c>
      <x:c r="P12" s="21" t="str">
        <x:v>单轮低规模、无确认PE/VC的简单结构基线</x:v>
      </x:c>
      <x:c r="Q12" s="21" t="str">
        <x:v>金额均为计算型且存在披露/名称桥接限制。</x:v>
      </x:c>
      <x:c r="R12" s="21" t="str">
        <x:v>Stage6B输入 + Stage6C研究分类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4" hidden="0" customWidth="1"/>
    <x:col min="5" max="5" width="20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24" hidden="0" customWidth="1"/>
    <x:col min="11" max="11" width="10" hidden="0" customWidth="1"/>
    <x:col min="12" max="12" width="28" hidden="0" customWidth="1"/>
    <x:col min="13" max="13" width="8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4" hidden="0" customWidth="1"/>
    <x:col min="24" max="24" width="20" hidden="0" customWidth="1"/>
    <x:col min="25" max="25" width="26" hidden="0" customWidth="1"/>
    <x:col min="26" max="26" width="64" hidden="0" customWidth="1"/>
    <x:col min="27" max="27" width="58" hidden="0" customWidth="1"/>
    <x:col min="28" max="28" width="34" hidden="0" customWidth="1"/>
  </x:cols>
  <x:sheetData>
    <x:row r="1" ht="30" customHeight="1">
      <x:c r="A1" s="64" t="str">
        <x:v>28个两两组合的S6互补性明细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</x:row>
    <x:row r="2" ht="34" customHeight="1">
      <x:c r="A2" s="65" t="str">
        <x:v>K—M为组合级研究判断；V—Y为P1—P4公式结果。辅助标志仅用于审计，不形成总分。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  <x:c r="Y3" s="66"/>
      <x:c r="Z3" s="66"/>
      <x:c r="AA3" s="66"/>
      <x:c r="AB3" s="66"/>
    </x:row>
    <x:row r="4" ht="38" customHeight="1">
      <x:c r="A4" s="68" t="str">
        <x:v>组合ID</x:v>
      </x:c>
      <x:c r="B4" s="68" t="str">
        <x:v>公司A_ID</x:v>
      </x:c>
      <x:c r="C4" s="68" t="str">
        <x:v>公司A</x:v>
      </x:c>
      <x:c r="D4" s="68" t="str">
        <x:v>公司B_ID</x:v>
      </x:c>
      <x:c r="E4" s="68" t="str">
        <x:v>公司B</x:v>
      </x:c>
      <x:c r="F4" s="68" t="str">
        <x:v>D1融资关系</x:v>
      </x:c>
      <x:c r="G4" s="68" t="str">
        <x:v>D2路径关系</x:v>
      </x:c>
      <x:c r="H4" s="68" t="str">
        <x:v>D3主体关系</x:v>
      </x:c>
      <x:c r="I4" s="68" t="str">
        <x:v>D4交易关系</x:v>
      </x:c>
      <x:c r="J4" s="68" t="str">
        <x:v>D5证据关系</x:v>
      </x:c>
      <x:c r="K4" s="68" t="str">
        <x:v>S6</x:v>
      </x:c>
      <x:c r="L4" s="68" t="str">
        <x:v>S6状态</x:v>
      </x:c>
      <x:c r="M4" s="68" t="str">
        <x:v>判断依据</x:v>
      </x:c>
      <x:c r="N4" s="68" t="str">
        <x:v>A_PEV C</x:v>
      </x:c>
      <x:c r="O4" s="68" t="str">
        <x:v>B_PEVC</x:v>
      </x:c>
      <x:c r="P4" s="68" t="str">
        <x:v>A_非PEVC</x:v>
      </x:c>
      <x:c r="Q4" s="68" t="str">
        <x:v>B_非PEVC</x:v>
      </x:c>
      <x:c r="R4" s="68" t="str">
        <x:v>A_完整转让</x:v>
      </x:c>
      <x:c r="S4" s="68" t="str">
        <x:v>B_完整转让</x:v>
      </x:c>
      <x:c r="T4" s="68" t="str">
        <x:v>A_方法边界</x:v>
      </x:c>
      <x:c r="U4" s="68" t="str">
        <x:v>B_方法边界</x:v>
      </x:c>
      <x:c r="V4" s="68" t="str">
        <x:v>P1</x:v>
      </x:c>
      <x:c r="W4" s="68" t="str">
        <x:v>P2</x:v>
      </x:c>
      <x:c r="X4" s="68" t="str">
        <x:v>P3</x:v>
      </x:c>
      <x:c r="Y4" s="68" t="str">
        <x:v>P4</x:v>
      </x:c>
      <x:c r="Z4" s="68" t="str">
        <x:v>建议研究用途</x:v>
      </x:c>
      <x:c r="AA4" s="68" t="str">
        <x:v>解释边界</x:v>
      </x:c>
      <x:c r="AB4" s="68" t="str">
        <x:v>数据层级</x:v>
      </x:c>
    </x:row>
    <x:row r="5" ht="96" customHeight="1">
      <x:c r="A5" s="28" t="str">
        <x:v>P01</x:v>
      </x:c>
      <x:c r="B5" s="28" t="str">
        <x:v>301563</x:v>
      </x:c>
      <x:c r="C5" s="28" t="str">
        <x:v>云汉芯城</x:v>
      </x:c>
      <x:c r="D5" s="28" t="str">
        <x:v>301581</x:v>
      </x:c>
      <x:c r="E5" s="28" t="str">
        <x:v>黄山谷捷</x:v>
      </x:c>
      <x:c r="F5" s="20" t="str">
        <x:v>PARTIAL_COMPLEMENT</x:v>
      </x:c>
      <x:c r="G5" s="20" t="str">
        <x:v>CLEAR_CONTRAST</x:v>
      </x:c>
      <x:c r="H5" s="20" t="str">
        <x:v>PARTIAL_COMPLEMENT</x:v>
      </x:c>
      <x:c r="I5" s="20" t="str">
        <x:v>PARTIAL_COMPLEMENT</x:v>
      </x:c>
      <x:c r="J5" s="20" t="str">
        <x:v>PARTIAL_COMPLEMENT</x:v>
      </x:c>
      <x:c r="K5" s="32" t="n">
        <x:v>1</x:v>
      </x:c>
      <x:c r="L5" s="32" t="str">
        <x:v>ONE_DIMENSION_COMPLEMENT</x:v>
      </x:c>
      <x:c r="M5" s="32" t="str">
        <x:v>融资画像：部分补充；PE/VC路径：清晰差异；主体结构：部分补充；一级/二级交易：部分补充；证据角色：部分补充。</x:v>
      </x:c>
      <x:c r="N5" s="20" t="n">
        <x:v>1</x:v>
      </x:c>
      <x:c r="O5" s="20" t="n">
        <x:v>0</x:v>
      </x:c>
      <x:c r="P5" s="20" t="n">
        <x:v>0</x:v>
      </x:c>
      <x:c r="Q5" s="20" t="n">
        <x:v>1</x:v>
      </x:c>
      <x:c r="R5" s="20" t="n">
        <x:v>1</x:v>
      </x:c>
      <x:c r="S5" s="20" t="n">
        <x:v>1</x:v>
      </x:c>
      <x:c r="T5" s="20" t="n">
        <x:v>0</x:v>
      </x:c>
      <x:c r="U5" s="20" t="n">
        <x:v>0</x:v>
      </x:c>
      <x:c r="V5" s="24" t="str">
        <x:f>IF(N5+O5&gt;=1,"PASS","FAIL")</x:f>
        <x:v>PASS</x:v>
      </x:c>
      <x:c r="W5" s="24" t="str">
        <x:f>IF(P5+Q5&gt;=1,"PASS_NON_PEVC",IF(AND(N5=1,O5=1,G5="CLEAR_CONTRAST"),"PASS_ALT_PATH","FAIL"))</x:f>
        <x:v>PASS_NON_PEVC</x:v>
      </x:c>
      <x:c r="X5" s="24" t="str">
        <x:f>IF(R5+S5&gt;=1,"PASS_FULL",IF(T5+U5&gt;=1,"LIMITED_BOUNDARY","NOT_MET"))</x:f>
        <x:v>PASS_FULL</x:v>
      </x:c>
      <x:c r="Y5" s="24" t="str">
        <x:f>IF(T5+U5=0,"NOT_APPLICABLE","PASS_WITH_LIMITATION")</x:f>
        <x:v>NOT_APPLICABLE</x:v>
      </x:c>
      <x:c r="Z5" s="20" t="str">
        <x:v>仅适合围绕单一明确差异进行受限比较。</x:v>
      </x:c>
      <x:c r="AA5" s="20" t="str">
        <x:v>不得用金额差异单独升级互补性。</x:v>
      </x:c>
      <x:c r="AB5" s="20" t="str">
        <x:v>Stage6C研究判断；约束列为公式计算</x:v>
      </x:c>
    </x:row>
    <x:row r="6" ht="96" customHeight="1">
      <x:c r="A6" s="28" t="str">
        <x:v>P02</x:v>
      </x:c>
      <x:c r="B6" s="28" t="str">
        <x:v>301563</x:v>
      </x:c>
      <x:c r="C6" s="28" t="str">
        <x:v>云汉芯城</x:v>
      </x:c>
      <x:c r="D6" s="28" t="str">
        <x:v>603418</x:v>
      </x:c>
      <x:c r="E6" s="28" t="str">
        <x:v>友升股份</x:v>
      </x:c>
      <x:c r="F6" s="20" t="str">
        <x:v>CLEAR_CONTRAST</x:v>
      </x:c>
      <x:c r="G6" s="20" t="str">
        <x:v>CLEAR_CONTRAST</x:v>
      </x:c>
      <x:c r="H6" s="20" t="str">
        <x:v>PARTIAL_COMPLEMENT</x:v>
      </x:c>
      <x:c r="I6" s="20" t="str">
        <x:v>CLEAR_CONTRAST</x:v>
      </x:c>
      <x:c r="J6" s="20" t="str">
        <x:v>PARTIAL_COMPLEMENT</x:v>
      </x:c>
      <x:c r="K6" s="32" t="n">
        <x:v>2</x:v>
      </x:c>
      <x:c r="L6" s="32" t="str">
        <x:v>CLEAR_COMPLEMENT</x:v>
      </x:c>
      <x:c r="M6" s="32" t="str">
        <x:v>融资画像：清晰差异；PE/VC路径：清晰差异；主体结构：部分补充；一级/二级交易：清晰差异；证据角色：部分补充。</x:v>
      </x:c>
      <x:c r="N6" s="20" t="n">
        <x:v>1</x:v>
      </x:c>
      <x:c r="O6" s="20" t="n">
        <x:v>1</x:v>
      </x:c>
      <x:c r="P6" s="20" t="n">
        <x:v>0</x:v>
      </x:c>
      <x:c r="Q6" s="20" t="n">
        <x:v>0</x:v>
      </x:c>
      <x:c r="R6" s="20" t="n">
        <x:v>1</x:v>
      </x:c>
      <x:c r="S6" s="20" t="n">
        <x:v>0</x:v>
      </x:c>
      <x:c r="T6" s="20" t="n">
        <x:v>0</x:v>
      </x:c>
      <x:c r="U6" s="20" t="n">
        <x:v>0</x:v>
      </x:c>
      <x:c r="V6" s="24" t="str">
        <x:f>IF(N6+O6&gt;=1,"PASS","FAIL")</x:f>
        <x:v>PASS</x:v>
      </x:c>
      <x:c r="W6" s="24" t="str">
        <x:f>IF(P6+Q6&gt;=1,"PASS_NON_PEVC",IF(AND(N6=1,O6=1,G6="CLEAR_CONTRAST"),"PASS_ALT_PATH","FAIL"))</x:f>
        <x:v>PASS_ALT_PATH</x:v>
      </x:c>
      <x:c r="X6" s="24" t="str">
        <x:f>IF(R6+S6&gt;=1,"PASS_FULL",IF(T6+U6&gt;=1,"LIMITED_BOUNDARY","NOT_MET"))</x:f>
        <x:v>PASS_FULL</x:v>
      </x:c>
      <x:c r="Y6" s="24" t="str">
        <x:f>IF(T6+U6=0,"NOT_APPLICABLE","PASS_WITH_LIMITATION")</x:f>
        <x:v>NOT_APPLICABLE</x:v>
      </x:c>
      <x:c r="Z6" s="20" t="str">
        <x:v>可用于构造机制、路径或交易结构的对照。</x:v>
      </x:c>
      <x:c r="AA6" s="20" t="str">
        <x:v>高互补不表示更优，也不支持因果推断。</x:v>
      </x:c>
      <x:c r="AB6" s="20" t="str">
        <x:v>Stage6C研究判断；约束列为公式计算</x:v>
      </x:c>
    </x:row>
    <x:row r="7" ht="96" customHeight="1">
      <x:c r="A7" s="28" t="str">
        <x:v>P03</x:v>
      </x:c>
      <x:c r="B7" s="28" t="str">
        <x:v>301563</x:v>
      </x:c>
      <x:c r="C7" s="28" t="str">
        <x:v>云汉芯城</x:v>
      </x:c>
      <x:c r="D7" s="28" t="str">
        <x:v>688758</x:v>
      </x:c>
      <x:c r="E7" s="28" t="str">
        <x:v>赛分科技</x:v>
      </x:c>
      <x:c r="F7" s="20" t="str">
        <x:v>CLEAR_CONTRAST</x:v>
      </x:c>
      <x:c r="G7" s="20" t="str">
        <x:v>CLEAR_CONTRAST</x:v>
      </x:c>
      <x:c r="H7" s="20" t="str">
        <x:v>PARTIAL_COMPLEMENT</x:v>
      </x:c>
      <x:c r="I7" s="20" t="str">
        <x:v>PARTIAL_COMPLEMENT</x:v>
      </x:c>
      <x:c r="J7" s="20" t="str">
        <x:v>PARTIAL_COMPLEMENT</x:v>
      </x:c>
      <x:c r="K7" s="32" t="n">
        <x:v>2</x:v>
      </x:c>
      <x:c r="L7" s="32" t="str">
        <x:v>CLEAR_COMPLEMENT</x:v>
      </x:c>
      <x:c r="M7" s="32" t="str">
        <x:v>融资画像：清晰差异；PE/VC路径：清晰差异；主体结构：部分补充；一级/二级交易：部分补充；证据角色：部分补充。</x:v>
      </x:c>
      <x:c r="N7" s="20" t="n">
        <x:v>1</x:v>
      </x:c>
      <x:c r="O7" s="20" t="n">
        <x:v>0</x:v>
      </x:c>
      <x:c r="P7" s="20" t="n">
        <x:v>0</x:v>
      </x:c>
      <x:c r="Q7" s="20" t="n">
        <x:v>1</x:v>
      </x:c>
      <x:c r="R7" s="20" t="n">
        <x:v>1</x:v>
      </x:c>
      <x:c r="S7" s="20" t="n">
        <x:v>1</x:v>
      </x:c>
      <x:c r="T7" s="20" t="n">
        <x:v>0</x:v>
      </x:c>
      <x:c r="U7" s="20" t="n">
        <x:v>0</x:v>
      </x:c>
      <x:c r="V7" s="24" t="str">
        <x:f>IF(N7+O7&gt;=1,"PASS","FAIL")</x:f>
        <x:v>PASS</x:v>
      </x:c>
      <x:c r="W7" s="24" t="str">
        <x:f>IF(P7+Q7&gt;=1,"PASS_NON_PEVC",IF(AND(N7=1,O7=1,G7="CLEAR_CONTRAST"),"PASS_ALT_PATH","FAIL"))</x:f>
        <x:v>PASS_NON_PEVC</x:v>
      </x:c>
      <x:c r="X7" s="24" t="str">
        <x:f>IF(R7+S7&gt;=1,"PASS_FULL",IF(T7+U7&gt;=1,"LIMITED_BOUNDARY","NOT_MET"))</x:f>
        <x:v>PASS_FULL</x:v>
      </x:c>
      <x:c r="Y7" s="24" t="str">
        <x:f>IF(T7+U7=0,"NOT_APPLICABLE","PASS_WITH_LIMITATION")</x:f>
        <x:v>NOT_APPLICABLE</x:v>
      </x:c>
      <x:c r="Z7" s="20" t="str">
        <x:v>可用于构造机制、路径或交易结构的对照。</x:v>
      </x:c>
      <x:c r="AA7" s="20" t="str">
        <x:v>高互补不表示更优，也不支持因果推断。</x:v>
      </x:c>
      <x:c r="AB7" s="20" t="str">
        <x:v>Stage6C研究判断；约束列为公式计算</x:v>
      </x:c>
    </x:row>
    <x:row r="8" ht="96" customHeight="1">
      <x:c r="A8" s="28" t="str">
        <x:v>P04</x:v>
      </x:c>
      <x:c r="B8" s="28" t="str">
        <x:v>301563</x:v>
      </x:c>
      <x:c r="C8" s="28" t="str">
        <x:v>云汉芯城</x:v>
      </x:c>
      <x:c r="D8" s="28" t="str">
        <x:v>688775</x:v>
      </x:c>
      <x:c r="E8" s="28" t="str">
        <x:v>影石创新</x:v>
      </x:c>
      <x:c r="F8" s="20" t="str">
        <x:v>BOUNDARY</x:v>
      </x:c>
      <x:c r="G8" s="20" t="str">
        <x:v>BOUNDARY</x:v>
      </x:c>
      <x:c r="H8" s="20" t="str">
        <x:v>BOUNDARY</x:v>
      </x:c>
      <x:c r="I8" s="20" t="str">
        <x:v>BOUNDARY</x:v>
      </x:c>
      <x:c r="J8" s="20" t="str">
        <x:v>BOUNDARY_COMPLEMENT</x:v>
      </x:c>
      <x:c r="K8" s="32" t="n">
        <x:v>2</x:v>
      </x:c>
      <x:c r="L8" s="32" t="str">
        <x:v>BOUNDARY_COMPLEMENT</x:v>
      </x:c>
      <x:c r="M8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8" s="20" t="n">
        <x:v>1</x:v>
      </x:c>
      <x:c r="O8" s="20" t="n">
        <x:v>0</x:v>
      </x:c>
      <x:c r="P8" s="20" t="n">
        <x:v>0</x:v>
      </x:c>
      <x:c r="Q8" s="20" t="n">
        <x:v>0</x:v>
      </x:c>
      <x:c r="R8" s="20" t="n">
        <x:v>1</x:v>
      </x:c>
      <x:c r="S8" s="20" t="n">
        <x:v>0</x:v>
      </x:c>
      <x:c r="T8" s="20" t="n">
        <x:v>0</x:v>
      </x:c>
      <x:c r="U8" s="20" t="n">
        <x:v>1</x:v>
      </x:c>
      <x:c r="V8" s="24" t="str">
        <x:f>IF(N8+O8&gt;=1,"PASS","FAIL")</x:f>
        <x:v>PASS</x:v>
      </x:c>
      <x:c r="W8" s="24" t="str">
        <x:f>IF(P8+Q8&gt;=1,"PASS_NON_PEVC",IF(AND(N8=1,O8=1,G8="CLEAR_CONTRAST"),"PASS_ALT_PATH","FAIL"))</x:f>
        <x:v>FAIL</x:v>
      </x:c>
      <x:c r="X8" s="24" t="str">
        <x:f>IF(R8+S8&gt;=1,"PASS_FULL",IF(T8+U8&gt;=1,"LIMITED_BOUNDARY","NOT_MET"))</x:f>
        <x:v>PASS_FULL</x:v>
      </x:c>
      <x:c r="Y8" s="24" t="str">
        <x:f>IF(T8+U8=0,"NOT_APPLICABLE","PASS_WITH_LIMITATION")</x:f>
        <x:v>PASS_WITH_LIMITATION</x:v>
      </x:c>
      <x:c r="Z8" s="20" t="str">
        <x:v>用于检验缺失、披露和可计算性边界；实质结论由非边界公司承担。</x:v>
      </x:c>
      <x:c r="AA8" s="20" t="str">
        <x:v>影石创新不得被解释为融资为0或PE/VC绝对不存在。</x:v>
      </x:c>
      <x:c r="AB8" s="20" t="str">
        <x:v>Stage6C研究判断；约束列为公式计算</x:v>
      </x:c>
    </x:row>
    <x:row r="9" ht="96" customHeight="1">
      <x:c r="A9" s="28" t="str">
        <x:v>P05</x:v>
      </x:c>
      <x:c r="B9" s="28" t="str">
        <x:v>301563</x:v>
      </x:c>
      <x:c r="C9" s="28" t="str">
        <x:v>云汉芯城</x:v>
      </x:c>
      <x:c r="D9" s="28" t="str">
        <x:v>920100</x:v>
      </x:c>
      <x:c r="E9" s="28" t="str">
        <x:v>三协电机</x:v>
      </x:c>
      <x:c r="F9" s="20" t="str">
        <x:v>CLEAR_CONTRAST</x:v>
      </x:c>
      <x:c r="G9" s="20" t="str">
        <x:v>CLEAR_CONTRAST</x:v>
      </x:c>
      <x:c r="H9" s="20" t="str">
        <x:v>PARTIAL_COMPLEMENT</x:v>
      </x:c>
      <x:c r="I9" s="20" t="str">
        <x:v>CLEAR_CONTRAST</x:v>
      </x:c>
      <x:c r="J9" s="20" t="str">
        <x:v>OVERLAP</x:v>
      </x:c>
      <x:c r="K9" s="32" t="n">
        <x:v>2</x:v>
      </x:c>
      <x:c r="L9" s="32" t="str">
        <x:v>CLEAR_COMPLEMENT</x:v>
      </x:c>
      <x:c r="M9" s="32" t="str">
        <x:v>融资画像：清晰差异；PE/VC路径：清晰差异；主体结构：部分补充；一级/二级交易：清晰差异；证据角色：模式重合。</x:v>
      </x:c>
      <x:c r="N9" s="20" t="n">
        <x:v>1</x:v>
      </x:c>
      <x:c r="O9" s="20" t="n">
        <x:v>1</x:v>
      </x:c>
      <x:c r="P9" s="20" t="n">
        <x:v>0</x:v>
      </x:c>
      <x:c r="Q9" s="20" t="n">
        <x:v>0</x:v>
      </x:c>
      <x:c r="R9" s="20" t="n">
        <x:v>1</x:v>
      </x:c>
      <x:c r="S9" s="20" t="n">
        <x:v>0</x:v>
      </x:c>
      <x:c r="T9" s="20" t="n">
        <x:v>0</x:v>
      </x:c>
      <x:c r="U9" s="20" t="n">
        <x:v>0</x:v>
      </x:c>
      <x:c r="V9" s="24" t="str">
        <x:f>IF(N9+O9&gt;=1,"PASS","FAIL")</x:f>
        <x:v>PASS</x:v>
      </x:c>
      <x:c r="W9" s="24" t="str">
        <x:f>IF(P9+Q9&gt;=1,"PASS_NON_PEVC",IF(AND(N9=1,O9=1,G9="CLEAR_CONTRAST"),"PASS_ALT_PATH","FAIL"))</x:f>
        <x:v>PASS_ALT_PATH</x:v>
      </x:c>
      <x:c r="X9" s="24" t="str">
        <x:f>IF(R9+S9&gt;=1,"PASS_FULL",IF(T9+U9&gt;=1,"LIMITED_BOUNDARY","NOT_MET"))</x:f>
        <x:v>PASS_FULL</x:v>
      </x:c>
      <x:c r="Y9" s="24" t="str">
        <x:f>IF(T9+U9=0,"NOT_APPLICABLE","PASS_WITH_LIMITATION")</x:f>
        <x:v>NOT_APPLICABLE</x:v>
      </x:c>
      <x:c r="Z9" s="20" t="str">
        <x:v>可用于构造机制、路径或交易结构的对照。</x:v>
      </x:c>
      <x:c r="AA9" s="20" t="str">
        <x:v>高互补不表示更优，也不支持因果推断。</x:v>
      </x:c>
      <x:c r="AB9" s="20" t="str">
        <x:v>Stage6C研究判断；约束列为公式计算</x:v>
      </x:c>
    </x:row>
    <x:row r="10" ht="96" customHeight="1">
      <x:c r="A10" s="28" t="str">
        <x:v>P06</x:v>
      </x:c>
      <x:c r="B10" s="28" t="str">
        <x:v>301563</x:v>
      </x:c>
      <x:c r="C10" s="28" t="str">
        <x:v>云汉芯城</x:v>
      </x:c>
      <x:c r="D10" s="28" t="str">
        <x:v>920116</x:v>
      </x:c>
      <x:c r="E10" s="28" t="str">
        <x:v>星图测控</x:v>
      </x:c>
      <x:c r="F10" s="20" t="str">
        <x:v>PARTIAL_COMPLEMENT</x:v>
      </x:c>
      <x:c r="G10" s="20" t="str">
        <x:v>CLEAR_CONTRAST</x:v>
      </x:c>
      <x:c r="H10" s="20" t="str">
        <x:v>PARTIAL_COMPLEMENT</x:v>
      </x:c>
      <x:c r="I10" s="20" t="str">
        <x:v>CLEAR_CONTRAST</x:v>
      </x:c>
      <x:c r="J10" s="20" t="str">
        <x:v>PARTIAL_COMPLEMENT</x:v>
      </x:c>
      <x:c r="K10" s="32" t="n">
        <x:v>2</x:v>
      </x:c>
      <x:c r="L10" s="32" t="str">
        <x:v>CLEAR_COMPLEMENT</x:v>
      </x:c>
      <x:c r="M10" s="32" t="str">
        <x:v>融资画像：部分补充；PE/VC路径：清晰差异；主体结构：部分补充；一级/二级交易：清晰差异；证据角色：部分补充。</x:v>
      </x:c>
      <x:c r="N10" s="20" t="n">
        <x:v>1</x:v>
      </x:c>
      <x:c r="O10" s="20" t="n">
        <x:v>0</x:v>
      </x:c>
      <x:c r="P10" s="20" t="n">
        <x:v>0</x:v>
      </x:c>
      <x:c r="Q10" s="20" t="n">
        <x:v>1</x:v>
      </x:c>
      <x:c r="R10" s="20" t="n">
        <x:v>1</x:v>
      </x:c>
      <x:c r="S10" s="20" t="n">
        <x:v>0</x:v>
      </x:c>
      <x:c r="T10" s="20" t="n">
        <x:v>0</x:v>
      </x:c>
      <x:c r="U10" s="20" t="n">
        <x:v>0</x:v>
      </x:c>
      <x:c r="V10" s="24" t="str">
        <x:f>IF(N10+O10&gt;=1,"PASS","FAIL")</x:f>
        <x:v>PASS</x:v>
      </x:c>
      <x:c r="W10" s="24" t="str">
        <x:f>IF(P10+Q10&gt;=1,"PASS_NON_PEVC",IF(AND(N10=1,O10=1,G10="CLEAR_CONTRAST"),"PASS_ALT_PATH","FAIL"))</x:f>
        <x:v>PASS_NON_PEVC</x:v>
      </x:c>
      <x:c r="X10" s="24" t="str">
        <x:f>IF(R10+S10&gt;=1,"PASS_FULL",IF(T10+U10&gt;=1,"LIMITED_BOUNDARY","NOT_MET"))</x:f>
        <x:v>PASS_FULL</x:v>
      </x:c>
      <x:c r="Y10" s="24" t="str">
        <x:f>IF(T10+U10=0,"NOT_APPLICABLE","PASS_WITH_LIMITATION")</x:f>
        <x:v>NOT_APPLICABLE</x:v>
      </x:c>
      <x:c r="Z10" s="20" t="str">
        <x:v>可用于构造机制、路径或交易结构的对照。</x:v>
      </x:c>
      <x:c r="AA10" s="20" t="str">
        <x:v>高互补不表示更优，也不支持因果推断。</x:v>
      </x:c>
      <x:c r="AB10" s="20" t="str">
        <x:v>Stage6C研究判断；约束列为公式计算</x:v>
      </x:c>
    </x:row>
    <x:row r="11" ht="96" customHeight="1">
      <x:c r="A11" s="28" t="str">
        <x:v>P07</x:v>
      </x:c>
      <x:c r="B11" s="28" t="str">
        <x:v>301563</x:v>
      </x:c>
      <x:c r="C11" s="28" t="str">
        <x:v>云汉芯城</x:v>
      </x:c>
      <x:c r="D11" s="28" t="str">
        <x:v>001282</x:v>
      </x:c>
      <x:c r="E11" s="28" t="str">
        <x:v>三联锻造</x:v>
      </x:c>
      <x:c r="F11" s="20" t="str">
        <x:v>CLEAR_CONTRAST</x:v>
      </x:c>
      <x:c r="G11" s="20" t="str">
        <x:v>CLEAR_CONTRAST</x:v>
      </x:c>
      <x:c r="H11" s="20" t="str">
        <x:v>CLEAR_CONTRAST</x:v>
      </x:c>
      <x:c r="I11" s="20" t="str">
        <x:v>CLEAR_CONTRAST</x:v>
      </x:c>
      <x:c r="J11" s="20" t="str">
        <x:v>OVERLAP</x:v>
      </x:c>
      <x:c r="K11" s="32" t="n">
        <x:v>2</x:v>
      </x:c>
      <x:c r="L11" s="32" t="str">
        <x:v>CLEAR_COMPLEMENT</x:v>
      </x:c>
      <x:c r="M11" s="32" t="str">
        <x:v>融资画像：清晰差异；PE/VC路径：清晰差异；主体结构：清晰差异；一级/二级交易：清晰差异；证据角色：模式重合。</x:v>
      </x:c>
      <x:c r="N11" s="20" t="n">
        <x:v>1</x:v>
      </x:c>
      <x:c r="O11" s="20" t="n">
        <x:v>0</x:v>
      </x:c>
      <x:c r="P11" s="20" t="n">
        <x:v>0</x:v>
      </x:c>
      <x:c r="Q11" s="20" t="n">
        <x:v>1</x:v>
      </x:c>
      <x:c r="R11" s="20" t="n">
        <x:v>1</x:v>
      </x:c>
      <x:c r="S11" s="20" t="n">
        <x:v>0</x:v>
      </x:c>
      <x:c r="T11" s="20" t="n">
        <x:v>0</x:v>
      </x:c>
      <x:c r="U11" s="20" t="n">
        <x:v>0</x:v>
      </x:c>
      <x:c r="V11" s="24" t="str">
        <x:f>IF(N11+O11&gt;=1,"PASS","FAIL")</x:f>
        <x:v>PASS</x:v>
      </x:c>
      <x:c r="W11" s="24" t="str">
        <x:f>IF(P11+Q11&gt;=1,"PASS_NON_PEVC",IF(AND(N11=1,O11=1,G11="CLEAR_CONTRAST"),"PASS_ALT_PATH","FAIL"))</x:f>
        <x:v>PASS_NON_PEVC</x:v>
      </x:c>
      <x:c r="X11" s="24" t="str">
        <x:f>IF(R11+S11&gt;=1,"PASS_FULL",IF(T11+U11&gt;=1,"LIMITED_BOUNDARY","NOT_MET"))</x:f>
        <x:v>PASS_FULL</x:v>
      </x:c>
      <x:c r="Y11" s="24" t="str">
        <x:f>IF(T11+U11=0,"NOT_APPLICABLE","PASS_WITH_LIMITATION")</x:f>
        <x:v>NOT_APPLICABLE</x:v>
      </x:c>
      <x:c r="Z11" s="20" t="str">
        <x:v>可用于构造机制、路径或交易结构的对照。</x:v>
      </x:c>
      <x:c r="AA11" s="20" t="str">
        <x:v>高互补不表示更优，也不支持因果推断。</x:v>
      </x:c>
      <x:c r="AB11" s="20" t="str">
        <x:v>Stage6C研究判断；约束列为公式计算</x:v>
      </x:c>
    </x:row>
    <x:row r="12" ht="96" customHeight="1">
      <x:c r="A12" s="28" t="str">
        <x:v>P08</x:v>
      </x:c>
      <x:c r="B12" s="28" t="str">
        <x:v>301581</x:v>
      </x:c>
      <x:c r="C12" s="28" t="str">
        <x:v>黄山谷捷</x:v>
      </x:c>
      <x:c r="D12" s="28" t="str">
        <x:v>603418</x:v>
      </x:c>
      <x:c r="E12" s="28" t="str">
        <x:v>友升股份</x:v>
      </x:c>
      <x:c r="F12" s="20" t="str">
        <x:v>PARTIAL_COMPLEMENT</x:v>
      </x:c>
      <x:c r="G12" s="20" t="str">
        <x:v>CLEAR_CONTRAST</x:v>
      </x:c>
      <x:c r="H12" s="20" t="str">
        <x:v>PARTIAL_COMPLEMENT</x:v>
      </x:c>
      <x:c r="I12" s="20" t="str">
        <x:v>CLEAR_CONTRAST</x:v>
      </x:c>
      <x:c r="J12" s="20" t="str">
        <x:v>PARTIAL_COMPLEMENT</x:v>
      </x:c>
      <x:c r="K12" s="32" t="n">
        <x:v>2</x:v>
      </x:c>
      <x:c r="L12" s="32" t="str">
        <x:v>CLEAR_COMPLEMENT</x:v>
      </x:c>
      <x:c r="M12" s="32" t="str">
        <x:v>融资画像：部分补充；PE/VC路径：清晰差异；主体结构：部分补充；一级/二级交易：清晰差异；证据角色：部分补充。</x:v>
      </x:c>
      <x:c r="N12" s="20" t="n">
        <x:v>0</x:v>
      </x:c>
      <x:c r="O12" s="20" t="n">
        <x:v>1</x:v>
      </x:c>
      <x:c r="P12" s="20" t="n">
        <x:v>1</x:v>
      </x:c>
      <x:c r="Q12" s="20" t="n">
        <x:v>0</x:v>
      </x:c>
      <x:c r="R12" s="20" t="n">
        <x:v>1</x:v>
      </x:c>
      <x:c r="S12" s="20" t="n">
        <x:v>0</x:v>
      </x:c>
      <x:c r="T12" s="20" t="n">
        <x:v>0</x:v>
      </x:c>
      <x:c r="U12" s="20" t="n">
        <x:v>0</x:v>
      </x:c>
      <x:c r="V12" s="24" t="str">
        <x:f>IF(N12+O12&gt;=1,"PASS","FAIL")</x:f>
        <x:v>PASS</x:v>
      </x:c>
      <x:c r="W12" s="24" t="str">
        <x:f>IF(P12+Q12&gt;=1,"PASS_NON_PEVC",IF(AND(N12=1,O12=1,G12="CLEAR_CONTRAST"),"PASS_ALT_PATH","FAIL"))</x:f>
        <x:v>PASS_NON_PEVC</x:v>
      </x:c>
      <x:c r="X12" s="24" t="str">
        <x:f>IF(R12+S12&gt;=1,"PASS_FULL",IF(T12+U12&gt;=1,"LIMITED_BOUNDARY","NOT_MET"))</x:f>
        <x:v>PASS_FULL</x:v>
      </x:c>
      <x:c r="Y12" s="24" t="str">
        <x:f>IF(T12+U12=0,"NOT_APPLICABLE","PASS_WITH_LIMITATION")</x:f>
        <x:v>NOT_APPLICABLE</x:v>
      </x:c>
      <x:c r="Z12" s="20" t="str">
        <x:v>可用于构造机制、路径或交易结构的对照。</x:v>
      </x:c>
      <x:c r="AA12" s="20" t="str">
        <x:v>高互补不表示更优，也不支持因果推断。</x:v>
      </x:c>
      <x:c r="AB12" s="20" t="str">
        <x:v>Stage6C研究判断；约束列为公式计算</x:v>
      </x:c>
    </x:row>
    <x:row r="13" ht="96" customHeight="1">
      <x:c r="A13" s="28" t="str">
        <x:v>P09</x:v>
      </x:c>
      <x:c r="B13" s="28" t="str">
        <x:v>301581</x:v>
      </x:c>
      <x:c r="C13" s="28" t="str">
        <x:v>黄山谷捷</x:v>
      </x:c>
      <x:c r="D13" s="28" t="str">
        <x:v>688758</x:v>
      </x:c>
      <x:c r="E13" s="28" t="str">
        <x:v>赛分科技</x:v>
      </x:c>
      <x:c r="F13" s="20" t="str">
        <x:v>CLEAR_CONTRAST</x:v>
      </x:c>
      <x:c r="G13" s="20" t="str">
        <x:v>OVERLAP</x:v>
      </x:c>
      <x:c r="H13" s="20" t="str">
        <x:v>PARTIAL_COMPLEMENT</x:v>
      </x:c>
      <x:c r="I13" s="20" t="str">
        <x:v>CLEAR_CONTRAST</x:v>
      </x:c>
      <x:c r="J13" s="20" t="str">
        <x:v>OVERLAP</x:v>
      </x:c>
      <x:c r="K13" s="32" t="n">
        <x:v>2</x:v>
      </x:c>
      <x:c r="L13" s="32" t="str">
        <x:v>CLEAR_COMPLEMENT</x:v>
      </x:c>
      <x:c r="M13" s="32" t="str">
        <x:v>融资画像：清晰差异；PE/VC路径：模式重合；主体结构：部分补充；一级/二级交易：清晰差异；证据角色：模式重合。</x:v>
      </x:c>
      <x:c r="N13" s="20" t="n">
        <x:v>0</x:v>
      </x:c>
      <x:c r="O13" s="20" t="n">
        <x:v>0</x:v>
      </x:c>
      <x:c r="P13" s="20" t="n">
        <x:v>1</x:v>
      </x:c>
      <x:c r="Q13" s="20" t="n">
        <x:v>1</x:v>
      </x:c>
      <x:c r="R13" s="20" t="n">
        <x:v>1</x:v>
      </x:c>
      <x:c r="S13" s="20" t="n">
        <x:v>1</x:v>
      </x:c>
      <x:c r="T13" s="20" t="n">
        <x:v>0</x:v>
      </x:c>
      <x:c r="U13" s="20" t="n">
        <x:v>0</x:v>
      </x:c>
      <x:c r="V13" s="24" t="str">
        <x:f>IF(N13+O13&gt;=1,"PASS","FAIL")</x:f>
        <x:v>FAIL</x:v>
      </x:c>
      <x:c r="W13" s="24" t="str">
        <x:f>IF(P13+Q13&gt;=1,"PASS_NON_PEVC",IF(AND(N13=1,O13=1,G13="CLEAR_CONTRAST"),"PASS_ALT_PATH","FAIL"))</x:f>
        <x:v>PASS_NON_PEVC</x:v>
      </x:c>
      <x:c r="X13" s="24" t="str">
        <x:f>IF(R13+S13&gt;=1,"PASS_FULL",IF(T13+U13&gt;=1,"LIMITED_BOUNDARY","NOT_MET"))</x:f>
        <x:v>PASS_FULL</x:v>
      </x:c>
      <x:c r="Y13" s="24" t="str">
        <x:f>IF(T13+U13=0,"NOT_APPLICABLE","PASS_WITH_LIMITATION")</x:f>
        <x:v>NOT_APPLICABLE</x:v>
      </x:c>
      <x:c r="Z13" s="20" t="str">
        <x:v>可用于构造机制、路径或交易结构的对照。</x:v>
      </x:c>
      <x:c r="AA13" s="20" t="str">
        <x:v>高互补不表示更优，也不支持因果推断。</x:v>
      </x:c>
      <x:c r="AB13" s="20" t="str">
        <x:v>Stage6C研究判断；约束列为公式计算</x:v>
      </x:c>
    </x:row>
    <x:row r="14" ht="96" customHeight="1">
      <x:c r="A14" s="28" t="str">
        <x:v>P10</x:v>
      </x:c>
      <x:c r="B14" s="28" t="str">
        <x:v>301581</x:v>
      </x:c>
      <x:c r="C14" s="28" t="str">
        <x:v>黄山谷捷</x:v>
      </x:c>
      <x:c r="D14" s="28" t="str">
        <x:v>688775</x:v>
      </x:c>
      <x:c r="E14" s="28" t="str">
        <x:v>影石创新</x:v>
      </x:c>
      <x:c r="F14" s="20" t="str">
        <x:v>BOUNDARY</x:v>
      </x:c>
      <x:c r="G14" s="20" t="str">
        <x:v>BOUNDARY</x:v>
      </x:c>
      <x:c r="H14" s="20" t="str">
        <x:v>BOUNDARY</x:v>
      </x:c>
      <x:c r="I14" s="20" t="str">
        <x:v>BOUNDARY</x:v>
      </x:c>
      <x:c r="J14" s="20" t="str">
        <x:v>BOUNDARY_COMPLEMENT</x:v>
      </x:c>
      <x:c r="K14" s="32" t="n">
        <x:v>2</x:v>
      </x:c>
      <x:c r="L14" s="32" t="str">
        <x:v>BOUNDARY_COMPLEMENT</x:v>
      </x:c>
      <x:c r="M14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14" s="20" t="n">
        <x:v>0</x:v>
      </x:c>
      <x:c r="O14" s="20" t="n">
        <x:v>0</x:v>
      </x:c>
      <x:c r="P14" s="20" t="n">
        <x:v>1</x:v>
      </x:c>
      <x:c r="Q14" s="20" t="n">
        <x:v>0</x:v>
      </x:c>
      <x:c r="R14" s="20" t="n">
        <x:v>1</x:v>
      </x:c>
      <x:c r="S14" s="20" t="n">
        <x:v>0</x:v>
      </x:c>
      <x:c r="T14" s="20" t="n">
        <x:v>0</x:v>
      </x:c>
      <x:c r="U14" s="20" t="n">
        <x:v>1</x:v>
      </x:c>
      <x:c r="V14" s="24" t="str">
        <x:f>IF(N14+O14&gt;=1,"PASS","FAIL")</x:f>
        <x:v>FAIL</x:v>
      </x:c>
      <x:c r="W14" s="24" t="str">
        <x:f>IF(P14+Q14&gt;=1,"PASS_NON_PEVC",IF(AND(N14=1,O14=1,G14="CLEAR_CONTRAST"),"PASS_ALT_PATH","FAIL"))</x:f>
        <x:v>PASS_NON_PEVC</x:v>
      </x:c>
      <x:c r="X14" s="24" t="str">
        <x:f>IF(R14+S14&gt;=1,"PASS_FULL",IF(T14+U14&gt;=1,"LIMITED_BOUNDARY","NOT_MET"))</x:f>
        <x:v>PASS_FULL</x:v>
      </x:c>
      <x:c r="Y14" s="24" t="str">
        <x:f>IF(T14+U14=0,"NOT_APPLICABLE","PASS_WITH_LIMITATION")</x:f>
        <x:v>PASS_WITH_LIMITATION</x:v>
      </x:c>
      <x:c r="Z14" s="20" t="str">
        <x:v>用于检验缺失、披露和可计算性边界；实质结论由非边界公司承担。</x:v>
      </x:c>
      <x:c r="AA14" s="20" t="str">
        <x:v>影石创新不得被解释为融资为0或PE/VC绝对不存在。</x:v>
      </x:c>
      <x:c r="AB14" s="20" t="str">
        <x:v>Stage6C研究判断；约束列为公式计算</x:v>
      </x:c>
    </x:row>
    <x:row r="15" ht="96" customHeight="1">
      <x:c r="A15" s="28" t="str">
        <x:v>P11</x:v>
      </x:c>
      <x:c r="B15" s="28" t="str">
        <x:v>301581</x:v>
      </x:c>
      <x:c r="C15" s="28" t="str">
        <x:v>黄山谷捷</x:v>
      </x:c>
      <x:c r="D15" s="28" t="str">
        <x:v>920100</x:v>
      </x:c>
      <x:c r="E15" s="28" t="str">
        <x:v>三协电机</x:v>
      </x:c>
      <x:c r="F15" s="20" t="str">
        <x:v>CLEAR_CONTRAST</x:v>
      </x:c>
      <x:c r="G15" s="20" t="str">
        <x:v>CLEAR_CONTRAST</x:v>
      </x:c>
      <x:c r="H15" s="20" t="str">
        <x:v>PARTIAL_COMPLEMENT</x:v>
      </x:c>
      <x:c r="I15" s="20" t="str">
        <x:v>CLEAR_CONTRAST</x:v>
      </x:c>
      <x:c r="J15" s="20" t="str">
        <x:v>PARTIAL_COMPLEMENT</x:v>
      </x:c>
      <x:c r="K15" s="32" t="n">
        <x:v>2</x:v>
      </x:c>
      <x:c r="L15" s="32" t="str">
        <x:v>CLEAR_COMPLEMENT</x:v>
      </x:c>
      <x:c r="M15" s="32" t="str">
        <x:v>融资画像：清晰差异；PE/VC路径：清晰差异；主体结构：部分补充；一级/二级交易：清晰差异；证据角色：部分补充。</x:v>
      </x:c>
      <x:c r="N15" s="20" t="n">
        <x:v>0</x:v>
      </x:c>
      <x:c r="O15" s="20" t="n">
        <x:v>1</x:v>
      </x:c>
      <x:c r="P15" s="20" t="n">
        <x:v>1</x:v>
      </x:c>
      <x:c r="Q15" s="20" t="n">
        <x:v>0</x:v>
      </x:c>
      <x:c r="R15" s="20" t="n">
        <x:v>1</x:v>
      </x:c>
      <x:c r="S15" s="20" t="n">
        <x:v>0</x:v>
      </x:c>
      <x:c r="T15" s="20" t="n">
        <x:v>0</x:v>
      </x:c>
      <x:c r="U15" s="20" t="n">
        <x:v>0</x:v>
      </x:c>
      <x:c r="V15" s="24" t="str">
        <x:f>IF(N15+O15&gt;=1,"PASS","FAIL")</x:f>
        <x:v>PASS</x:v>
      </x:c>
      <x:c r="W15" s="24" t="str">
        <x:f>IF(P15+Q15&gt;=1,"PASS_NON_PEVC",IF(AND(N15=1,O15=1,G15="CLEAR_CONTRAST"),"PASS_ALT_PATH","FAIL"))</x:f>
        <x:v>PASS_NON_PEVC</x:v>
      </x:c>
      <x:c r="X15" s="24" t="str">
        <x:f>IF(R15+S15&gt;=1,"PASS_FULL",IF(T15+U15&gt;=1,"LIMITED_BOUNDARY","NOT_MET"))</x:f>
        <x:v>PASS_FULL</x:v>
      </x:c>
      <x:c r="Y15" s="24" t="str">
        <x:f>IF(T15+U15=0,"NOT_APPLICABLE","PASS_WITH_LIMITATION")</x:f>
        <x:v>NOT_APPLICABLE</x:v>
      </x:c>
      <x:c r="Z15" s="20" t="str">
        <x:v>可用于构造机制、路径或交易结构的对照。</x:v>
      </x:c>
      <x:c r="AA15" s="20" t="str">
        <x:v>高互补不表示更优，也不支持因果推断。</x:v>
      </x:c>
      <x:c r="AB15" s="20" t="str">
        <x:v>Stage6C研究判断；约束列为公式计算</x:v>
      </x:c>
    </x:row>
    <x:row r="16" ht="96" customHeight="1">
      <x:c r="A16" s="28" t="str">
        <x:v>P12</x:v>
      </x:c>
      <x:c r="B16" s="28" t="str">
        <x:v>301581</x:v>
      </x:c>
      <x:c r="C16" s="28" t="str">
        <x:v>黄山谷捷</x:v>
      </x:c>
      <x:c r="D16" s="28" t="str">
        <x:v>920116</x:v>
      </x:c>
      <x:c r="E16" s="28" t="str">
        <x:v>星图测控</x:v>
      </x:c>
      <x:c r="F16" s="20" t="str">
        <x:v>PARTIAL_COMPLEMENT</x:v>
      </x:c>
      <x:c r="G16" s="20" t="str">
        <x:v>OVERLAP</x:v>
      </x:c>
      <x:c r="H16" s="20" t="str">
        <x:v>PARTIAL_COMPLEMENT</x:v>
      </x:c>
      <x:c r="I16" s="20" t="str">
        <x:v>CLEAR_CONTRAST</x:v>
      </x:c>
      <x:c r="J16" s="20" t="str">
        <x:v>PARTIAL_COMPLEMENT</x:v>
      </x:c>
      <x:c r="K16" s="32" t="n">
        <x:v>1</x:v>
      </x:c>
      <x:c r="L16" s="32" t="str">
        <x:v>ONE_DIMENSION_COMPLEMENT</x:v>
      </x:c>
      <x:c r="M16" s="32" t="str">
        <x:v>融资画像：部分补充；PE/VC路径：模式重合；主体结构：部分补充；一级/二级交易：清晰差异；证据角色：部分补充。</x:v>
      </x:c>
      <x:c r="N16" s="20" t="n">
        <x:v>0</x:v>
      </x:c>
      <x:c r="O16" s="20" t="n">
        <x:v>0</x:v>
      </x:c>
      <x:c r="P16" s="20" t="n">
        <x:v>1</x:v>
      </x:c>
      <x:c r="Q16" s="20" t="n">
        <x:v>1</x:v>
      </x:c>
      <x:c r="R16" s="20" t="n">
        <x:v>1</x:v>
      </x:c>
      <x:c r="S16" s="20" t="n">
        <x:v>0</x:v>
      </x:c>
      <x:c r="T16" s="20" t="n">
        <x:v>0</x:v>
      </x:c>
      <x:c r="U16" s="20" t="n">
        <x:v>0</x:v>
      </x:c>
      <x:c r="V16" s="24" t="str">
        <x:f>IF(N16+O16&gt;=1,"PASS","FAIL")</x:f>
        <x:v>FAIL</x:v>
      </x:c>
      <x:c r="W16" s="24" t="str">
        <x:f>IF(P16+Q16&gt;=1,"PASS_NON_PEVC",IF(AND(N16=1,O16=1,G16="CLEAR_CONTRAST"),"PASS_ALT_PATH","FAIL"))</x:f>
        <x:v>PASS_NON_PEVC</x:v>
      </x:c>
      <x:c r="X16" s="24" t="str">
        <x:f>IF(R16+S16&gt;=1,"PASS_FULL",IF(T16+U16&gt;=1,"LIMITED_BOUNDARY","NOT_MET"))</x:f>
        <x:v>PASS_FULL</x:v>
      </x:c>
      <x:c r="Y16" s="24" t="str">
        <x:f>IF(T16+U16=0,"NOT_APPLICABLE","PASS_WITH_LIMITATION")</x:f>
        <x:v>NOT_APPLICABLE</x:v>
      </x:c>
      <x:c r="Z16" s="20" t="str">
        <x:v>仅适合围绕单一明确差异进行受限比较。</x:v>
      </x:c>
      <x:c r="AA16" s="20" t="str">
        <x:v>不得用金额差异单独升级互补性。</x:v>
      </x:c>
      <x:c r="AB16" s="20" t="str">
        <x:v>Stage6C研究判断；约束列为公式计算</x:v>
      </x:c>
    </x:row>
    <x:row r="17" ht="96" customHeight="1">
      <x:c r="A17" s="28" t="str">
        <x:v>P13</x:v>
      </x:c>
      <x:c r="B17" s="28" t="str">
        <x:v>301581</x:v>
      </x:c>
      <x:c r="C17" s="28" t="str">
        <x:v>黄山谷捷</x:v>
      </x:c>
      <x:c r="D17" s="28" t="str">
        <x:v>001282</x:v>
      </x:c>
      <x:c r="E17" s="28" t="str">
        <x:v>三联锻造</x:v>
      </x:c>
      <x:c r="F17" s="20" t="str">
        <x:v>CLEAR_CONTRAST</x:v>
      </x:c>
      <x:c r="G17" s="20" t="str">
        <x:v>OVERLAP</x:v>
      </x:c>
      <x:c r="H17" s="20" t="str">
        <x:v>PARTIAL_COMPLEMENT</x:v>
      </x:c>
      <x:c r="I17" s="20" t="str">
        <x:v>CLEAR_CONTRAST</x:v>
      </x:c>
      <x:c r="J17" s="20" t="str">
        <x:v>PARTIAL_COMPLEMENT</x:v>
      </x:c>
      <x:c r="K17" s="32" t="n">
        <x:v>2</x:v>
      </x:c>
      <x:c r="L17" s="32" t="str">
        <x:v>CLEAR_COMPLEMENT</x:v>
      </x:c>
      <x:c r="M17" s="32" t="str">
        <x:v>融资画像：清晰差异；PE/VC路径：模式重合；主体结构：部分补充；一级/二级交易：清晰差异；证据角色：部分补充。</x:v>
      </x:c>
      <x:c r="N17" s="20" t="n">
        <x:v>0</x:v>
      </x:c>
      <x:c r="O17" s="20" t="n">
        <x:v>0</x:v>
      </x:c>
      <x:c r="P17" s="20" t="n">
        <x:v>1</x:v>
      </x:c>
      <x:c r="Q17" s="20" t="n">
        <x:v>1</x:v>
      </x:c>
      <x:c r="R17" s="20" t="n">
        <x:v>1</x:v>
      </x:c>
      <x:c r="S17" s="20" t="n">
        <x:v>0</x:v>
      </x:c>
      <x:c r="T17" s="20" t="n">
        <x:v>0</x:v>
      </x:c>
      <x:c r="U17" s="20" t="n">
        <x:v>0</x:v>
      </x:c>
      <x:c r="V17" s="24" t="str">
        <x:f>IF(N17+O17&gt;=1,"PASS","FAIL")</x:f>
        <x:v>FAIL</x:v>
      </x:c>
      <x:c r="W17" s="24" t="str">
        <x:f>IF(P17+Q17&gt;=1,"PASS_NON_PEVC",IF(AND(N17=1,O17=1,G17="CLEAR_CONTRAST"),"PASS_ALT_PATH","FAIL"))</x:f>
        <x:v>PASS_NON_PEVC</x:v>
      </x:c>
      <x:c r="X17" s="24" t="str">
        <x:f>IF(R17+S17&gt;=1,"PASS_FULL",IF(T17+U17&gt;=1,"LIMITED_BOUNDARY","NOT_MET"))</x:f>
        <x:v>PASS_FULL</x:v>
      </x:c>
      <x:c r="Y17" s="24" t="str">
        <x:f>IF(T17+U17=0,"NOT_APPLICABLE","PASS_WITH_LIMITATION")</x:f>
        <x:v>NOT_APPLICABLE</x:v>
      </x:c>
      <x:c r="Z17" s="20" t="str">
        <x:v>可用于构造机制、路径或交易结构的对照。</x:v>
      </x:c>
      <x:c r="AA17" s="20" t="str">
        <x:v>高互补不表示更优，也不支持因果推断。</x:v>
      </x:c>
      <x:c r="AB17" s="20" t="str">
        <x:v>Stage6C研究判断；约束列为公式计算</x:v>
      </x:c>
    </x:row>
    <x:row r="18" ht="96" customHeight="1">
      <x:c r="A18" s="28" t="str">
        <x:v>P14</x:v>
      </x:c>
      <x:c r="B18" s="28" t="str">
        <x:v>603418</x:v>
      </x:c>
      <x:c r="C18" s="28" t="str">
        <x:v>友升股份</x:v>
      </x:c>
      <x:c r="D18" s="28" t="str">
        <x:v>688758</x:v>
      </x:c>
      <x:c r="E18" s="28" t="str">
        <x:v>赛分科技</x:v>
      </x:c>
      <x:c r="F18" s="20" t="str">
        <x:v>PARTIAL_COMPLEMENT</x:v>
      </x:c>
      <x:c r="G18" s="20" t="str">
        <x:v>CLEAR_CONTRAST</x:v>
      </x:c>
      <x:c r="H18" s="20" t="str">
        <x:v>OVERLAP</x:v>
      </x:c>
      <x:c r="I18" s="20" t="str">
        <x:v>CLEAR_CONTRAST</x:v>
      </x:c>
      <x:c r="J18" s="20" t="str">
        <x:v>PARTIAL_COMPLEMENT</x:v>
      </x:c>
      <x:c r="K18" s="32" t="n">
        <x:v>2</x:v>
      </x:c>
      <x:c r="L18" s="32" t="str">
        <x:v>CLEAR_COMPLEMENT</x:v>
      </x:c>
      <x:c r="M18" s="32" t="str">
        <x:v>融资画像：部分补充；PE/VC路径：清晰差异；主体结构：模式重合；一级/二级交易：清晰差异；证据角色：部分补充。</x:v>
      </x:c>
      <x:c r="N18" s="20" t="n">
        <x:v>1</x:v>
      </x:c>
      <x:c r="O18" s="20" t="n">
        <x:v>0</x:v>
      </x:c>
      <x:c r="P18" s="20" t="n">
        <x:v>0</x:v>
      </x:c>
      <x:c r="Q18" s="20" t="n">
        <x:v>1</x:v>
      </x:c>
      <x:c r="R18" s="20" t="n">
        <x:v>0</x:v>
      </x:c>
      <x:c r="S18" s="20" t="n">
        <x:v>1</x:v>
      </x:c>
      <x:c r="T18" s="20" t="n">
        <x:v>0</x:v>
      </x:c>
      <x:c r="U18" s="20" t="n">
        <x:v>0</x:v>
      </x:c>
      <x:c r="V18" s="24" t="str">
        <x:f>IF(N18+O18&gt;=1,"PASS","FAIL")</x:f>
        <x:v>PASS</x:v>
      </x:c>
      <x:c r="W18" s="24" t="str">
        <x:f>IF(P18+Q18&gt;=1,"PASS_NON_PEVC",IF(AND(N18=1,O18=1,G18="CLEAR_CONTRAST"),"PASS_ALT_PATH","FAIL"))</x:f>
        <x:v>PASS_NON_PEVC</x:v>
      </x:c>
      <x:c r="X18" s="24" t="str">
        <x:f>IF(R18+S18&gt;=1,"PASS_FULL",IF(T18+U18&gt;=1,"LIMITED_BOUNDARY","NOT_MET"))</x:f>
        <x:v>PASS_FULL</x:v>
      </x:c>
      <x:c r="Y18" s="24" t="str">
        <x:f>IF(T18+U18=0,"NOT_APPLICABLE","PASS_WITH_LIMITATION")</x:f>
        <x:v>NOT_APPLICABLE</x:v>
      </x:c>
      <x:c r="Z18" s="20" t="str">
        <x:v>可用于构造机制、路径或交易结构的对照。</x:v>
      </x:c>
      <x:c r="AA18" s="20" t="str">
        <x:v>高互补不表示更优，也不支持因果推断。</x:v>
      </x:c>
      <x:c r="AB18" s="20" t="str">
        <x:v>Stage6C研究判断；约束列为公式计算</x:v>
      </x:c>
    </x:row>
    <x:row r="19" ht="96" customHeight="1">
      <x:c r="A19" s="28" t="str">
        <x:v>P15</x:v>
      </x:c>
      <x:c r="B19" s="28" t="str">
        <x:v>603418</x:v>
      </x:c>
      <x:c r="C19" s="28" t="str">
        <x:v>友升股份</x:v>
      </x:c>
      <x:c r="D19" s="28" t="str">
        <x:v>688775</x:v>
      </x:c>
      <x:c r="E19" s="28" t="str">
        <x:v>影石创新</x:v>
      </x:c>
      <x:c r="F19" s="20" t="str">
        <x:v>BOUNDARY</x:v>
      </x:c>
      <x:c r="G19" s="20" t="str">
        <x:v>BOUNDARY</x:v>
      </x:c>
      <x:c r="H19" s="20" t="str">
        <x:v>BOUNDARY</x:v>
      </x:c>
      <x:c r="I19" s="20" t="str">
        <x:v>BOUNDARY</x:v>
      </x:c>
      <x:c r="J19" s="20" t="str">
        <x:v>BOUNDARY_COMPLEMENT</x:v>
      </x:c>
      <x:c r="K19" s="32" t="n">
        <x:v>2</x:v>
      </x:c>
      <x:c r="L19" s="32" t="str">
        <x:v>BOUNDARY_COMPLEMENT</x:v>
      </x:c>
      <x:c r="M19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19" s="20" t="n">
        <x:v>1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  <x:c r="S19" s="20" t="n">
        <x:v>0</x:v>
      </x:c>
      <x:c r="T19" s="20" t="n">
        <x:v>0</x:v>
      </x:c>
      <x:c r="U19" s="20" t="n">
        <x:v>1</x:v>
      </x:c>
      <x:c r="V19" s="24" t="str">
        <x:f>IF(N19+O19&gt;=1,"PASS","FAIL")</x:f>
        <x:v>PASS</x:v>
      </x:c>
      <x:c r="W19" s="24" t="str">
        <x:f>IF(P19+Q19&gt;=1,"PASS_NON_PEVC",IF(AND(N19=1,O19=1,G19="CLEAR_CONTRAST"),"PASS_ALT_PATH","FAIL"))</x:f>
        <x:v>FAIL</x:v>
      </x:c>
      <x:c r="X19" s="24" t="str">
        <x:f>IF(R19+S19&gt;=1,"PASS_FULL",IF(T19+U19&gt;=1,"LIMITED_BOUNDARY","NOT_MET"))</x:f>
        <x:v>LIMITED_BOUNDARY</x:v>
      </x:c>
      <x:c r="Y19" s="24" t="str">
        <x:f>IF(T19+U19=0,"NOT_APPLICABLE","PASS_WITH_LIMITATION")</x:f>
        <x:v>PASS_WITH_LIMITATION</x:v>
      </x:c>
      <x:c r="Z19" s="20" t="str">
        <x:v>用于检验缺失、披露和可计算性边界；实质结论由非边界公司承担。</x:v>
      </x:c>
      <x:c r="AA19" s="20" t="str">
        <x:v>影石创新不得被解释为融资为0或PE/VC绝对不存在。</x:v>
      </x:c>
      <x:c r="AB19" s="20" t="str">
        <x:v>Stage6C研究判断；约束列为公式计算</x:v>
      </x:c>
    </x:row>
    <x:row r="20" ht="96" customHeight="1">
      <x:c r="A20" s="28" t="str">
        <x:v>P16</x:v>
      </x:c>
      <x:c r="B20" s="28" t="str">
        <x:v>603418</x:v>
      </x:c>
      <x:c r="C20" s="28" t="str">
        <x:v>友升股份</x:v>
      </x:c>
      <x:c r="D20" s="28" t="str">
        <x:v>920100</x:v>
      </x:c>
      <x:c r="E20" s="28" t="str">
        <x:v>三协电机</x:v>
      </x:c>
      <x:c r="F20" s="20" t="str">
        <x:v>CLEAR_CONTRAST</x:v>
      </x:c>
      <x:c r="G20" s="20" t="str">
        <x:v>OVERLAP</x:v>
      </x:c>
      <x:c r="H20" s="20" t="str">
        <x:v>OVERLAP</x:v>
      </x:c>
      <x:c r="I20" s="20" t="str">
        <x:v>OVERLAP</x:v>
      </x:c>
      <x:c r="J20" s="20" t="str">
        <x:v>PARTIAL_COMPLEMENT</x:v>
      </x:c>
      <x:c r="K20" s="32" t="n">
        <x:v>1</x:v>
      </x:c>
      <x:c r="L20" s="32" t="str">
        <x:v>ONE_DIMENSION_COMPLEMENT</x:v>
      </x:c>
      <x:c r="M20" s="32" t="str">
        <x:v>融资画像：清晰差异；PE/VC路径：模式重合；主体结构：模式重合；一级/二级交易：模式重合；证据角色：部分补充。</x:v>
      </x:c>
      <x:c r="N20" s="20" t="n">
        <x:v>1</x:v>
      </x:c>
      <x:c r="O20" s="20" t="n">
        <x:v>1</x:v>
      </x:c>
      <x:c r="P20" s="20" t="n">
        <x:v>0</x:v>
      </x:c>
      <x:c r="Q20" s="20" t="n">
        <x:v>0</x:v>
      </x:c>
      <x:c r="R20" s="20" t="n">
        <x:v>0</x:v>
      </x:c>
      <x:c r="S20" s="20" t="n">
        <x:v>0</x:v>
      </x:c>
      <x:c r="T20" s="20" t="n">
        <x:v>0</x:v>
      </x:c>
      <x:c r="U20" s="20" t="n">
        <x:v>0</x:v>
      </x:c>
      <x:c r="V20" s="24" t="str">
        <x:f>IF(N20+O20&gt;=1,"PASS","FAIL")</x:f>
        <x:v>PASS</x:v>
      </x:c>
      <x:c r="W20" s="24" t="str">
        <x:f>IF(P20+Q20&gt;=1,"PASS_NON_PEVC",IF(AND(N20=1,O20=1,G20="CLEAR_CONTRAST"),"PASS_ALT_PATH","FAIL"))</x:f>
        <x:v>FAIL</x:v>
      </x:c>
      <x:c r="X20" s="24" t="str">
        <x:f>IF(R20+S20&gt;=1,"PASS_FULL",IF(T20+U20&gt;=1,"LIMITED_BOUNDARY","NOT_MET"))</x:f>
        <x:v>NOT_MET</x:v>
      </x:c>
      <x:c r="Y20" s="24" t="str">
        <x:f>IF(T20+U20=0,"NOT_APPLICABLE","PASS_WITH_LIMITATION")</x:f>
        <x:v>NOT_APPLICABLE</x:v>
      </x:c>
      <x:c r="Z20" s="20" t="str">
        <x:v>仅适合围绕单一明确差异进行受限比较。</x:v>
      </x:c>
      <x:c r="AA20" s="20" t="str">
        <x:v>不得用金额差异单独升级互补性。</x:v>
      </x:c>
      <x:c r="AB20" s="20" t="str">
        <x:v>Stage6C研究判断；约束列为公式计算</x:v>
      </x:c>
    </x:row>
    <x:row r="21" ht="96" customHeight="1">
      <x:c r="A21" s="28" t="str">
        <x:v>P17</x:v>
      </x:c>
      <x:c r="B21" s="28" t="str">
        <x:v>603418</x:v>
      </x:c>
      <x:c r="C21" s="28" t="str">
        <x:v>友升股份</x:v>
      </x:c>
      <x:c r="D21" s="28" t="str">
        <x:v>920116</x:v>
      </x:c>
      <x:c r="E21" s="28" t="str">
        <x:v>星图测控</x:v>
      </x:c>
      <x:c r="F21" s="20" t="str">
        <x:v>CLEAR_CONTRAST</x:v>
      </x:c>
      <x:c r="G21" s="20" t="str">
        <x:v>CLEAR_CONTRAST</x:v>
      </x:c>
      <x:c r="H21" s="20" t="str">
        <x:v>PARTIAL_COMPLEMENT</x:v>
      </x:c>
      <x:c r="I21" s="20" t="str">
        <x:v>OVERLAP</x:v>
      </x:c>
      <x:c r="J21" s="20" t="str">
        <x:v>OVERLAP</x:v>
      </x:c>
      <x:c r="K21" s="32" t="n">
        <x:v>2</x:v>
      </x:c>
      <x:c r="L21" s="32" t="str">
        <x:v>CLEAR_COMPLEMENT</x:v>
      </x:c>
      <x:c r="M21" s="32" t="str">
        <x:v>融资画像：清晰差异；PE/VC路径：清晰差异；主体结构：部分补充；一级/二级交易：模式重合；证据角色：模式重合。</x:v>
      </x:c>
      <x:c r="N21" s="20" t="n">
        <x:v>1</x:v>
      </x:c>
      <x:c r="O21" s="20" t="n">
        <x:v>0</x:v>
      </x:c>
      <x:c r="P21" s="20" t="n">
        <x:v>0</x:v>
      </x:c>
      <x:c r="Q21" s="20" t="n">
        <x:v>1</x:v>
      </x:c>
      <x:c r="R21" s="20" t="n">
        <x:v>0</x:v>
      </x:c>
      <x:c r="S21" s="20" t="n">
        <x:v>0</x:v>
      </x:c>
      <x:c r="T21" s="20" t="n">
        <x:v>0</x:v>
      </x:c>
      <x:c r="U21" s="20" t="n">
        <x:v>0</x:v>
      </x:c>
      <x:c r="V21" s="24" t="str">
        <x:f>IF(N21+O21&gt;=1,"PASS","FAIL")</x:f>
        <x:v>PASS</x:v>
      </x:c>
      <x:c r="W21" s="24" t="str">
        <x:f>IF(P21+Q21&gt;=1,"PASS_NON_PEVC",IF(AND(N21=1,O21=1,G21="CLEAR_CONTRAST"),"PASS_ALT_PATH","FAIL"))</x:f>
        <x:v>PASS_NON_PEVC</x:v>
      </x:c>
      <x:c r="X21" s="24" t="str">
        <x:f>IF(R21+S21&gt;=1,"PASS_FULL",IF(T21+U21&gt;=1,"LIMITED_BOUNDARY","NOT_MET"))</x:f>
        <x:v>NOT_MET</x:v>
      </x:c>
      <x:c r="Y21" s="24" t="str">
        <x:f>IF(T21+U21=0,"NOT_APPLICABLE","PASS_WITH_LIMITATION")</x:f>
        <x:v>NOT_APPLICABLE</x:v>
      </x:c>
      <x:c r="Z21" s="20" t="str">
        <x:v>可用于构造机制、路径或交易结构的对照。</x:v>
      </x:c>
      <x:c r="AA21" s="20" t="str">
        <x:v>高互补不表示更优，也不支持因果推断。</x:v>
      </x:c>
      <x:c r="AB21" s="20" t="str">
        <x:v>Stage6C研究判断；约束列为公式计算</x:v>
      </x:c>
    </x:row>
    <x:row r="22" ht="96" customHeight="1">
      <x:c r="A22" s="28" t="str">
        <x:v>P18</x:v>
      </x:c>
      <x:c r="B22" s="28" t="str">
        <x:v>603418</x:v>
      </x:c>
      <x:c r="C22" s="28" t="str">
        <x:v>友升股份</x:v>
      </x:c>
      <x:c r="D22" s="28" t="str">
        <x:v>001282</x:v>
      </x:c>
      <x:c r="E22" s="28" t="str">
        <x:v>三联锻造</x:v>
      </x:c>
      <x:c r="F22" s="20" t="str">
        <x:v>CLEAR_CONTRAST</x:v>
      </x:c>
      <x:c r="G22" s="20" t="str">
        <x:v>CLEAR_CONTRAST</x:v>
      </x:c>
      <x:c r="H22" s="20" t="str">
        <x:v>CLEAR_CONTRAST</x:v>
      </x:c>
      <x:c r="I22" s="20" t="str">
        <x:v>OVERLAP</x:v>
      </x:c>
      <x:c r="J22" s="20" t="str">
        <x:v>PARTIAL_COMPLEMENT</x:v>
      </x:c>
      <x:c r="K22" s="32" t="n">
        <x:v>2</x:v>
      </x:c>
      <x:c r="L22" s="32" t="str">
        <x:v>CLEAR_COMPLEMENT</x:v>
      </x:c>
      <x:c r="M22" s="32" t="str">
        <x:v>融资画像：清晰差异；PE/VC路径：清晰差异；主体结构：清晰差异；一级/二级交易：模式重合；证据角色：部分补充。</x:v>
      </x:c>
      <x:c r="N22" s="20" t="n">
        <x:v>1</x:v>
      </x:c>
      <x:c r="O22" s="20" t="n">
        <x:v>0</x:v>
      </x:c>
      <x:c r="P22" s="20" t="n">
        <x:v>0</x:v>
      </x:c>
      <x:c r="Q22" s="20" t="n">
        <x:v>1</x:v>
      </x:c>
      <x:c r="R22" s="20" t="n">
        <x:v>0</x:v>
      </x:c>
      <x:c r="S22" s="20" t="n">
        <x:v>0</x:v>
      </x:c>
      <x:c r="T22" s="20" t="n">
        <x:v>0</x:v>
      </x:c>
      <x:c r="U22" s="20" t="n">
        <x:v>0</x:v>
      </x:c>
      <x:c r="V22" s="24" t="str">
        <x:f>IF(N22+O22&gt;=1,"PASS","FAIL")</x:f>
        <x:v>PASS</x:v>
      </x:c>
      <x:c r="W22" s="24" t="str">
        <x:f>IF(P22+Q22&gt;=1,"PASS_NON_PEVC",IF(AND(N22=1,O22=1,G22="CLEAR_CONTRAST"),"PASS_ALT_PATH","FAIL"))</x:f>
        <x:v>PASS_NON_PEVC</x:v>
      </x:c>
      <x:c r="X22" s="24" t="str">
        <x:f>IF(R22+S22&gt;=1,"PASS_FULL",IF(T22+U22&gt;=1,"LIMITED_BOUNDARY","NOT_MET"))</x:f>
        <x:v>NOT_MET</x:v>
      </x:c>
      <x:c r="Y22" s="24" t="str">
        <x:f>IF(T22+U22=0,"NOT_APPLICABLE","PASS_WITH_LIMITATION")</x:f>
        <x:v>NOT_APPLICABLE</x:v>
      </x:c>
      <x:c r="Z22" s="20" t="str">
        <x:v>可用于构造机制、路径或交易结构的对照。</x:v>
      </x:c>
      <x:c r="AA22" s="20" t="str">
        <x:v>高互补不表示更优，也不支持因果推断。</x:v>
      </x:c>
      <x:c r="AB22" s="20" t="str">
        <x:v>Stage6C研究判断；约束列为公式计算</x:v>
      </x:c>
    </x:row>
    <x:row r="23" ht="96" customHeight="1">
      <x:c r="A23" s="28" t="str">
        <x:v>P19</x:v>
      </x:c>
      <x:c r="B23" s="28" t="str">
        <x:v>688758</x:v>
      </x:c>
      <x:c r="C23" s="28" t="str">
        <x:v>赛分科技</x:v>
      </x:c>
      <x:c r="D23" s="28" t="str">
        <x:v>688775</x:v>
      </x:c>
      <x:c r="E23" s="28" t="str">
        <x:v>影石创新</x:v>
      </x:c>
      <x:c r="F23" s="20" t="str">
        <x:v>BOUNDARY</x:v>
      </x:c>
      <x:c r="G23" s="20" t="str">
        <x:v>BOUNDARY</x:v>
      </x:c>
      <x:c r="H23" s="20" t="str">
        <x:v>BOUNDARY</x:v>
      </x:c>
      <x:c r="I23" s="20" t="str">
        <x:v>BOUNDARY</x:v>
      </x:c>
      <x:c r="J23" s="20" t="str">
        <x:v>BOUNDARY_COMPLEMENT</x:v>
      </x:c>
      <x:c r="K23" s="32" t="n">
        <x:v>2</x:v>
      </x:c>
      <x:c r="L23" s="32" t="str">
        <x:v>BOUNDARY_COMPLEMENT</x:v>
      </x:c>
      <x:c r="M23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23" s="20" t="n">
        <x:v>0</x:v>
      </x:c>
      <x:c r="O23" s="20" t="n">
        <x:v>0</x:v>
      </x:c>
      <x:c r="P23" s="20" t="n">
        <x:v>1</x:v>
      </x:c>
      <x:c r="Q23" s="20" t="n">
        <x:v>0</x:v>
      </x:c>
      <x:c r="R23" s="20" t="n">
        <x:v>1</x:v>
      </x:c>
      <x:c r="S23" s="20" t="n">
        <x:v>0</x:v>
      </x:c>
      <x:c r="T23" s="20" t="n">
        <x:v>0</x:v>
      </x:c>
      <x:c r="U23" s="20" t="n">
        <x:v>1</x:v>
      </x:c>
      <x:c r="V23" s="24" t="str">
        <x:f>IF(N23+O23&gt;=1,"PASS","FAIL")</x:f>
        <x:v>FAIL</x:v>
      </x:c>
      <x:c r="W23" s="24" t="str">
        <x:f>IF(P23+Q23&gt;=1,"PASS_NON_PEVC",IF(AND(N23=1,O23=1,G23="CLEAR_CONTRAST"),"PASS_ALT_PATH","FAIL"))</x:f>
        <x:v>PASS_NON_PEVC</x:v>
      </x:c>
      <x:c r="X23" s="24" t="str">
        <x:f>IF(R23+S23&gt;=1,"PASS_FULL",IF(T23+U23&gt;=1,"LIMITED_BOUNDARY","NOT_MET"))</x:f>
        <x:v>PASS_FULL</x:v>
      </x:c>
      <x:c r="Y23" s="24" t="str">
        <x:f>IF(T23+U23=0,"NOT_APPLICABLE","PASS_WITH_LIMITATION")</x:f>
        <x:v>PASS_WITH_LIMITATION</x:v>
      </x:c>
      <x:c r="Z23" s="20" t="str">
        <x:v>用于检验缺失、披露和可计算性边界；实质结论由非边界公司承担。</x:v>
      </x:c>
      <x:c r="AA23" s="20" t="str">
        <x:v>影石创新不得被解释为融资为0或PE/VC绝对不存在。</x:v>
      </x:c>
      <x:c r="AB23" s="20" t="str">
        <x:v>Stage6C研究判断；约束列为公式计算</x:v>
      </x:c>
    </x:row>
    <x:row r="24" ht="96" customHeight="1">
      <x:c r="A24" s="28" t="str">
        <x:v>P20</x:v>
      </x:c>
      <x:c r="B24" s="28" t="str">
        <x:v>688758</x:v>
      </x:c>
      <x:c r="C24" s="28" t="str">
        <x:v>赛分科技</x:v>
      </x:c>
      <x:c r="D24" s="28" t="str">
        <x:v>920100</x:v>
      </x:c>
      <x:c r="E24" s="28" t="str">
        <x:v>三协电机</x:v>
      </x:c>
      <x:c r="F24" s="20" t="str">
        <x:v>CLEAR_CONTRAST</x:v>
      </x:c>
      <x:c r="G24" s="20" t="str">
        <x:v>CLEAR_CONTRAST</x:v>
      </x:c>
      <x:c r="H24" s="20" t="str">
        <x:v>OVERLAP</x:v>
      </x:c>
      <x:c r="I24" s="20" t="str">
        <x:v>CLEAR_CONTRAST</x:v>
      </x:c>
      <x:c r="J24" s="20" t="str">
        <x:v>PARTIAL_COMPLEMENT</x:v>
      </x:c>
      <x:c r="K24" s="32" t="n">
        <x:v>2</x:v>
      </x:c>
      <x:c r="L24" s="32" t="str">
        <x:v>CLEAR_COMPLEMENT</x:v>
      </x:c>
      <x:c r="M24" s="32" t="str">
        <x:v>融资画像：清晰差异；PE/VC路径：清晰差异；主体结构：模式重合；一级/二级交易：清晰差异；证据角色：部分补充。</x:v>
      </x:c>
      <x:c r="N24" s="20" t="n">
        <x:v>0</x:v>
      </x:c>
      <x:c r="O24" s="20" t="n">
        <x:v>1</x:v>
      </x:c>
      <x:c r="P24" s="20" t="n">
        <x:v>1</x:v>
      </x:c>
      <x:c r="Q24" s="20" t="n">
        <x:v>0</x:v>
      </x:c>
      <x:c r="R24" s="20" t="n">
        <x:v>1</x:v>
      </x:c>
      <x:c r="S24" s="20" t="n">
        <x:v>0</x:v>
      </x:c>
      <x:c r="T24" s="20" t="n">
        <x:v>0</x:v>
      </x:c>
      <x:c r="U24" s="20" t="n">
        <x:v>0</x:v>
      </x:c>
      <x:c r="V24" s="24" t="str">
        <x:f>IF(N24+O24&gt;=1,"PASS","FAIL")</x:f>
        <x:v>PASS</x:v>
      </x:c>
      <x:c r="W24" s="24" t="str">
        <x:f>IF(P24+Q24&gt;=1,"PASS_NON_PEVC",IF(AND(N24=1,O24=1,G24="CLEAR_CONTRAST"),"PASS_ALT_PATH","FAIL"))</x:f>
        <x:v>PASS_NON_PEVC</x:v>
      </x:c>
      <x:c r="X24" s="24" t="str">
        <x:f>IF(R24+S24&gt;=1,"PASS_FULL",IF(T24+U24&gt;=1,"LIMITED_BOUNDARY","NOT_MET"))</x:f>
        <x:v>PASS_FULL</x:v>
      </x:c>
      <x:c r="Y24" s="24" t="str">
        <x:f>IF(T24+U24=0,"NOT_APPLICABLE","PASS_WITH_LIMITATION")</x:f>
        <x:v>NOT_APPLICABLE</x:v>
      </x:c>
      <x:c r="Z24" s="20" t="str">
        <x:v>可用于构造机制、路径或交易结构的对照。</x:v>
      </x:c>
      <x:c r="AA24" s="20" t="str">
        <x:v>高互补不表示更优，也不支持因果推断。</x:v>
      </x:c>
      <x:c r="AB24" s="20" t="str">
        <x:v>Stage6C研究判断；约束列为公式计算</x:v>
      </x:c>
    </x:row>
    <x:row r="25" ht="96" customHeight="1">
      <x:c r="A25" s="28" t="str">
        <x:v>P21</x:v>
      </x:c>
      <x:c r="B25" s="28" t="str">
        <x:v>688758</x:v>
      </x:c>
      <x:c r="C25" s="28" t="str">
        <x:v>赛分科技</x:v>
      </x:c>
      <x:c r="D25" s="28" t="str">
        <x:v>920116</x:v>
      </x:c>
      <x:c r="E25" s="28" t="str">
        <x:v>星图测控</x:v>
      </x:c>
      <x:c r="F25" s="20" t="str">
        <x:v>CLEAR_CONTRAST</x:v>
      </x:c>
      <x:c r="G25" s="20" t="str">
        <x:v>OVERLAP</x:v>
      </x:c>
      <x:c r="H25" s="20" t="str">
        <x:v>PARTIAL_COMPLEMENT</x:v>
      </x:c>
      <x:c r="I25" s="20" t="str">
        <x:v>CLEAR_CONTRAST</x:v>
      </x:c>
      <x:c r="J25" s="20" t="str">
        <x:v>PARTIAL_COMPLEMENT</x:v>
      </x:c>
      <x:c r="K25" s="32" t="n">
        <x:v>2</x:v>
      </x:c>
      <x:c r="L25" s="32" t="str">
        <x:v>CLEAR_COMPLEMENT</x:v>
      </x:c>
      <x:c r="M25" s="32" t="str">
        <x:v>融资画像：清晰差异；PE/VC路径：模式重合；主体结构：部分补充；一级/二级交易：清晰差异；证据角色：部分补充。</x:v>
      </x:c>
      <x:c r="N25" s="20" t="n">
        <x:v>0</x:v>
      </x:c>
      <x:c r="O25" s="20" t="n">
        <x:v>0</x:v>
      </x:c>
      <x:c r="P25" s="20" t="n">
        <x:v>1</x:v>
      </x:c>
      <x:c r="Q25" s="20" t="n">
        <x:v>1</x:v>
      </x:c>
      <x:c r="R25" s="20" t="n">
        <x:v>1</x:v>
      </x:c>
      <x:c r="S25" s="20" t="n">
        <x:v>0</x:v>
      </x:c>
      <x:c r="T25" s="20" t="n">
        <x:v>0</x:v>
      </x:c>
      <x:c r="U25" s="20" t="n">
        <x:v>0</x:v>
      </x:c>
      <x:c r="V25" s="24" t="str">
        <x:f>IF(N25+O25&gt;=1,"PASS","FAIL")</x:f>
        <x:v>FAIL</x:v>
      </x:c>
      <x:c r="W25" s="24" t="str">
        <x:f>IF(P25+Q25&gt;=1,"PASS_NON_PEVC",IF(AND(N25=1,O25=1,G25="CLEAR_CONTRAST"),"PASS_ALT_PATH","FAIL"))</x:f>
        <x:v>PASS_NON_PEVC</x:v>
      </x:c>
      <x:c r="X25" s="24" t="str">
        <x:f>IF(R25+S25&gt;=1,"PASS_FULL",IF(T25+U25&gt;=1,"LIMITED_BOUNDARY","NOT_MET"))</x:f>
        <x:v>PASS_FULL</x:v>
      </x:c>
      <x:c r="Y25" s="24" t="str">
        <x:f>IF(T25+U25=0,"NOT_APPLICABLE","PASS_WITH_LIMITATION")</x:f>
        <x:v>NOT_APPLICABLE</x:v>
      </x:c>
      <x:c r="Z25" s="20" t="str">
        <x:v>可用于构造机制、路径或交易结构的对照。</x:v>
      </x:c>
      <x:c r="AA25" s="20" t="str">
        <x:v>高互补不表示更优，也不支持因果推断。</x:v>
      </x:c>
      <x:c r="AB25" s="20" t="str">
        <x:v>Stage6C研究判断；约束列为公式计算</x:v>
      </x:c>
    </x:row>
    <x:row r="26" ht="96" customHeight="1">
      <x:c r="A26" s="28" t="str">
        <x:v>P22</x:v>
      </x:c>
      <x:c r="B26" s="28" t="str">
        <x:v>688758</x:v>
      </x:c>
      <x:c r="C26" s="28" t="str">
        <x:v>赛分科技</x:v>
      </x:c>
      <x:c r="D26" s="28" t="str">
        <x:v>001282</x:v>
      </x:c>
      <x:c r="E26" s="28" t="str">
        <x:v>三联锻造</x:v>
      </x:c>
      <x:c r="F26" s="20" t="str">
        <x:v>CLEAR_CONTRAST</x:v>
      </x:c>
      <x:c r="G26" s="20" t="str">
        <x:v>OVERLAP</x:v>
      </x:c>
      <x:c r="H26" s="20" t="str">
        <x:v>CLEAR_CONTRAST</x:v>
      </x:c>
      <x:c r="I26" s="20" t="str">
        <x:v>CLEAR_CONTRAST</x:v>
      </x:c>
      <x:c r="J26" s="20" t="str">
        <x:v>PARTIAL_COMPLEMENT</x:v>
      </x:c>
      <x:c r="K26" s="32" t="n">
        <x:v>2</x:v>
      </x:c>
      <x:c r="L26" s="32" t="str">
        <x:v>CLEAR_COMPLEMENT</x:v>
      </x:c>
      <x:c r="M26" s="32" t="str">
        <x:v>融资画像：清晰差异；PE/VC路径：模式重合；主体结构：清晰差异；一级/二级交易：清晰差异；证据角色：部分补充。</x:v>
      </x:c>
      <x:c r="N26" s="20" t="n">
        <x:v>0</x:v>
      </x:c>
      <x:c r="O26" s="20" t="n">
        <x:v>0</x:v>
      </x:c>
      <x:c r="P26" s="20" t="n">
        <x:v>1</x:v>
      </x:c>
      <x:c r="Q26" s="20" t="n">
        <x:v>1</x:v>
      </x:c>
      <x:c r="R26" s="20" t="n">
        <x:v>1</x:v>
      </x:c>
      <x:c r="S26" s="20" t="n">
        <x:v>0</x:v>
      </x:c>
      <x:c r="T26" s="20" t="n">
        <x:v>0</x:v>
      </x:c>
      <x:c r="U26" s="20" t="n">
        <x:v>0</x:v>
      </x:c>
      <x:c r="V26" s="24" t="str">
        <x:f>IF(N26+O26&gt;=1,"PASS","FAIL")</x:f>
        <x:v>FAIL</x:v>
      </x:c>
      <x:c r="W26" s="24" t="str">
        <x:f>IF(P26+Q26&gt;=1,"PASS_NON_PEVC",IF(AND(N26=1,O26=1,G26="CLEAR_CONTRAST"),"PASS_ALT_PATH","FAIL"))</x:f>
        <x:v>PASS_NON_PEVC</x:v>
      </x:c>
      <x:c r="X26" s="24" t="str">
        <x:f>IF(R26+S26&gt;=1,"PASS_FULL",IF(T26+U26&gt;=1,"LIMITED_BOUNDARY","NOT_MET"))</x:f>
        <x:v>PASS_FULL</x:v>
      </x:c>
      <x:c r="Y26" s="24" t="str">
        <x:f>IF(T26+U26=0,"NOT_APPLICABLE","PASS_WITH_LIMITATION")</x:f>
        <x:v>NOT_APPLICABLE</x:v>
      </x:c>
      <x:c r="Z26" s="20" t="str">
        <x:v>可用于构造机制、路径或交易结构的对照。</x:v>
      </x:c>
      <x:c r="AA26" s="20" t="str">
        <x:v>高互补不表示更优，也不支持因果推断。</x:v>
      </x:c>
      <x:c r="AB26" s="20" t="str">
        <x:v>Stage6C研究判断；约束列为公式计算</x:v>
      </x:c>
    </x:row>
    <x:row r="27" ht="96" customHeight="1">
      <x:c r="A27" s="28" t="str">
        <x:v>P23</x:v>
      </x:c>
      <x:c r="B27" s="28" t="str">
        <x:v>688775</x:v>
      </x:c>
      <x:c r="C27" s="28" t="str">
        <x:v>影石创新</x:v>
      </x:c>
      <x:c r="D27" s="28" t="str">
        <x:v>920100</x:v>
      </x:c>
      <x:c r="E27" s="28" t="str">
        <x:v>三协电机</x:v>
      </x:c>
      <x:c r="F27" s="20" t="str">
        <x:v>BOUNDARY</x:v>
      </x:c>
      <x:c r="G27" s="20" t="str">
        <x:v>BOUNDARY</x:v>
      </x:c>
      <x:c r="H27" s="20" t="str">
        <x:v>BOUNDARY</x:v>
      </x:c>
      <x:c r="I27" s="20" t="str">
        <x:v>BOUNDARY</x:v>
      </x:c>
      <x:c r="J27" s="20" t="str">
        <x:v>BOUNDARY_COMPLEMENT</x:v>
      </x:c>
      <x:c r="K27" s="32" t="n">
        <x:v>2</x:v>
      </x:c>
      <x:c r="L27" s="32" t="str">
        <x:v>BOUNDARY_COMPLEMENT</x:v>
      </x:c>
      <x:c r="M27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27" s="20" t="n">
        <x:v>0</x:v>
      </x:c>
      <x:c r="O27" s="20" t="n">
        <x:v>1</x:v>
      </x:c>
      <x:c r="P27" s="20" t="n">
        <x:v>0</x:v>
      </x:c>
      <x:c r="Q27" s="20" t="n">
        <x:v>0</x:v>
      </x:c>
      <x:c r="R27" s="20" t="n">
        <x:v>0</x:v>
      </x:c>
      <x:c r="S27" s="20" t="n">
        <x:v>0</x:v>
      </x:c>
      <x:c r="T27" s="20" t="n">
        <x:v>1</x:v>
      </x:c>
      <x:c r="U27" s="20" t="n">
        <x:v>0</x:v>
      </x:c>
      <x:c r="V27" s="24" t="str">
        <x:f>IF(N27+O27&gt;=1,"PASS","FAIL")</x:f>
        <x:v>PASS</x:v>
      </x:c>
      <x:c r="W27" s="24" t="str">
        <x:f>IF(P27+Q27&gt;=1,"PASS_NON_PEVC",IF(AND(N27=1,O27=1,G27="CLEAR_CONTRAST"),"PASS_ALT_PATH","FAIL"))</x:f>
        <x:v>FAIL</x:v>
      </x:c>
      <x:c r="X27" s="24" t="str">
        <x:f>IF(R27+S27&gt;=1,"PASS_FULL",IF(T27+U27&gt;=1,"LIMITED_BOUNDARY","NOT_MET"))</x:f>
        <x:v>LIMITED_BOUNDARY</x:v>
      </x:c>
      <x:c r="Y27" s="24" t="str">
        <x:f>IF(T27+U27=0,"NOT_APPLICABLE","PASS_WITH_LIMITATION")</x:f>
        <x:v>PASS_WITH_LIMITATION</x:v>
      </x:c>
      <x:c r="Z27" s="20" t="str">
        <x:v>用于检验缺失、披露和可计算性边界；实质结论由非边界公司承担。</x:v>
      </x:c>
      <x:c r="AA27" s="20" t="str">
        <x:v>影石创新不得被解释为融资为0或PE/VC绝对不存在。</x:v>
      </x:c>
      <x:c r="AB27" s="20" t="str">
        <x:v>Stage6C研究判断；约束列为公式计算</x:v>
      </x:c>
    </x:row>
    <x:row r="28" ht="96" customHeight="1">
      <x:c r="A28" s="28" t="str">
        <x:v>P24</x:v>
      </x:c>
      <x:c r="B28" s="28" t="str">
        <x:v>688775</x:v>
      </x:c>
      <x:c r="C28" s="28" t="str">
        <x:v>影石创新</x:v>
      </x:c>
      <x:c r="D28" s="28" t="str">
        <x:v>920116</x:v>
      </x:c>
      <x:c r="E28" s="28" t="str">
        <x:v>星图测控</x:v>
      </x:c>
      <x:c r="F28" s="20" t="str">
        <x:v>BOUNDARY</x:v>
      </x:c>
      <x:c r="G28" s="20" t="str">
        <x:v>BOUNDARY</x:v>
      </x:c>
      <x:c r="H28" s="20" t="str">
        <x:v>BOUNDARY</x:v>
      </x:c>
      <x:c r="I28" s="20" t="str">
        <x:v>BOUNDARY</x:v>
      </x:c>
      <x:c r="J28" s="20" t="str">
        <x:v>BOUNDARY_COMPLEMENT</x:v>
      </x:c>
      <x:c r="K28" s="32" t="n">
        <x:v>2</x:v>
      </x:c>
      <x:c r="L28" s="32" t="str">
        <x:v>BOUNDARY_COMPLEMENT</x:v>
      </x:c>
      <x:c r="M28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28" s="20" t="n">
        <x:v>0</x:v>
      </x:c>
      <x:c r="O28" s="20" t="n">
        <x:v>0</x:v>
      </x:c>
      <x:c r="P28" s="20" t="n">
        <x:v>0</x:v>
      </x:c>
      <x:c r="Q28" s="20" t="n">
        <x:v>1</x:v>
      </x:c>
      <x:c r="R28" s="20" t="n">
        <x:v>0</x:v>
      </x:c>
      <x:c r="S28" s="20" t="n">
        <x:v>0</x:v>
      </x:c>
      <x:c r="T28" s="20" t="n">
        <x:v>1</x:v>
      </x:c>
      <x:c r="U28" s="20" t="n">
        <x:v>0</x:v>
      </x:c>
      <x:c r="V28" s="24" t="str">
        <x:f>IF(N28+O28&gt;=1,"PASS","FAIL")</x:f>
        <x:v>FAIL</x:v>
      </x:c>
      <x:c r="W28" s="24" t="str">
        <x:f>IF(P28+Q28&gt;=1,"PASS_NON_PEVC",IF(AND(N28=1,O28=1,G28="CLEAR_CONTRAST"),"PASS_ALT_PATH","FAIL"))</x:f>
        <x:v>PASS_NON_PEVC</x:v>
      </x:c>
      <x:c r="X28" s="24" t="str">
        <x:f>IF(R28+S28&gt;=1,"PASS_FULL",IF(T28+U28&gt;=1,"LIMITED_BOUNDARY","NOT_MET"))</x:f>
        <x:v>LIMITED_BOUNDARY</x:v>
      </x:c>
      <x:c r="Y28" s="24" t="str">
        <x:f>IF(T28+U28=0,"NOT_APPLICABLE","PASS_WITH_LIMITATION")</x:f>
        <x:v>PASS_WITH_LIMITATION</x:v>
      </x:c>
      <x:c r="Z28" s="20" t="str">
        <x:v>用于检验缺失、披露和可计算性边界；实质结论由非边界公司承担。</x:v>
      </x:c>
      <x:c r="AA28" s="20" t="str">
        <x:v>影石创新不得被解释为融资为0或PE/VC绝对不存在。</x:v>
      </x:c>
      <x:c r="AB28" s="20" t="str">
        <x:v>Stage6C研究判断；约束列为公式计算</x:v>
      </x:c>
    </x:row>
    <x:row r="29" ht="96" customHeight="1">
      <x:c r="A29" s="28" t="str">
        <x:v>P25</x:v>
      </x:c>
      <x:c r="B29" s="28" t="str">
        <x:v>688775</x:v>
      </x:c>
      <x:c r="C29" s="28" t="str">
        <x:v>影石创新</x:v>
      </x:c>
      <x:c r="D29" s="28" t="str">
        <x:v>001282</x:v>
      </x:c>
      <x:c r="E29" s="28" t="str">
        <x:v>三联锻造</x:v>
      </x:c>
      <x:c r="F29" s="20" t="str">
        <x:v>BOUNDARY</x:v>
      </x:c>
      <x:c r="G29" s="20" t="str">
        <x:v>BOUNDARY</x:v>
      </x:c>
      <x:c r="H29" s="20" t="str">
        <x:v>BOUNDARY</x:v>
      </x:c>
      <x:c r="I29" s="20" t="str">
        <x:v>BOUNDARY</x:v>
      </x:c>
      <x:c r="J29" s="20" t="str">
        <x:v>BOUNDARY_COMPLEMENT</x:v>
      </x:c>
      <x:c r="K29" s="32" t="n">
        <x:v>2</x:v>
      </x:c>
      <x:c r="L29" s="32" t="str">
        <x:v>BOUNDARY_COMPLEMENT</x:v>
      </x:c>
      <x:c r="M29" s="32" t="str">
        <x:v>融资画像：边界不可同尺度比较；PE/VC路径：边界不可同尺度比较；主体结构：边界不可同尺度比较；一级/二级交易：边界不可同尺度比较；证据角色：方法边界补充。</x:v>
      </x:c>
      <x:c r="N29" s="20" t="n">
        <x:v>0</x:v>
      </x:c>
      <x:c r="O29" s="20" t="n">
        <x:v>0</x:v>
      </x:c>
      <x:c r="P29" s="20" t="n">
        <x:v>0</x:v>
      </x:c>
      <x:c r="Q29" s="20" t="n">
        <x:v>1</x:v>
      </x:c>
      <x:c r="R29" s="20" t="n">
        <x:v>0</x:v>
      </x:c>
      <x:c r="S29" s="20" t="n">
        <x:v>0</x:v>
      </x:c>
      <x:c r="T29" s="20" t="n">
        <x:v>1</x:v>
      </x:c>
      <x:c r="U29" s="20" t="n">
        <x:v>0</x:v>
      </x:c>
      <x:c r="V29" s="24" t="str">
        <x:f>IF(N29+O29&gt;=1,"PASS","FAIL")</x:f>
        <x:v>FAIL</x:v>
      </x:c>
      <x:c r="W29" s="24" t="str">
        <x:f>IF(P29+Q29&gt;=1,"PASS_NON_PEVC",IF(AND(N29=1,O29=1,G29="CLEAR_CONTRAST"),"PASS_ALT_PATH","FAIL"))</x:f>
        <x:v>PASS_NON_PEVC</x:v>
      </x:c>
      <x:c r="X29" s="24" t="str">
        <x:f>IF(R29+S29&gt;=1,"PASS_FULL",IF(T29+U29&gt;=1,"LIMITED_BOUNDARY","NOT_MET"))</x:f>
        <x:v>LIMITED_BOUNDARY</x:v>
      </x:c>
      <x:c r="Y29" s="24" t="str">
        <x:f>IF(T29+U29=0,"NOT_APPLICABLE","PASS_WITH_LIMITATION")</x:f>
        <x:v>PASS_WITH_LIMITATION</x:v>
      </x:c>
      <x:c r="Z29" s="20" t="str">
        <x:v>用于检验缺失、披露和可计算性边界；实质结论由非边界公司承担。</x:v>
      </x:c>
      <x:c r="AA29" s="20" t="str">
        <x:v>影石创新不得被解释为融资为0或PE/VC绝对不存在。</x:v>
      </x:c>
      <x:c r="AB29" s="20" t="str">
        <x:v>Stage6C研究判断；约束列为公式计算</x:v>
      </x:c>
    </x:row>
    <x:row r="30" ht="96" customHeight="1">
      <x:c r="A30" s="28" t="str">
        <x:v>P26</x:v>
      </x:c>
      <x:c r="B30" s="28" t="str">
        <x:v>920100</x:v>
      </x:c>
      <x:c r="C30" s="28" t="str">
        <x:v>三协电机</x:v>
      </x:c>
      <x:c r="D30" s="28" t="str">
        <x:v>920116</x:v>
      </x:c>
      <x:c r="E30" s="28" t="str">
        <x:v>星图测控</x:v>
      </x:c>
      <x:c r="F30" s="20" t="str">
        <x:v>CLEAR_CONTRAST</x:v>
      </x:c>
      <x:c r="G30" s="20" t="str">
        <x:v>CLEAR_CONTRAST</x:v>
      </x:c>
      <x:c r="H30" s="20" t="str">
        <x:v>PARTIAL_COMPLEMENT</x:v>
      </x:c>
      <x:c r="I30" s="20" t="str">
        <x:v>OVERLAP</x:v>
      </x:c>
      <x:c r="J30" s="20" t="str">
        <x:v>PARTIAL_COMPLEMENT</x:v>
      </x:c>
      <x:c r="K30" s="32" t="n">
        <x:v>2</x:v>
      </x:c>
      <x:c r="L30" s="32" t="str">
        <x:v>CLEAR_COMPLEMENT</x:v>
      </x:c>
      <x:c r="M30" s="32" t="str">
        <x:v>融资画像：清晰差异；PE/VC路径：清晰差异；主体结构：部分补充；一级/二级交易：模式重合；证据角色：部分补充。</x:v>
      </x:c>
      <x:c r="N30" s="20" t="n">
        <x:v>1</x:v>
      </x:c>
      <x:c r="O30" s="20" t="n">
        <x:v>0</x:v>
      </x:c>
      <x:c r="P30" s="20" t="n">
        <x:v>0</x:v>
      </x:c>
      <x:c r="Q30" s="20" t="n">
        <x:v>1</x:v>
      </x:c>
      <x:c r="R30" s="20" t="n">
        <x:v>0</x:v>
      </x:c>
      <x:c r="S30" s="20" t="n">
        <x:v>0</x:v>
      </x:c>
      <x:c r="T30" s="20" t="n">
        <x:v>0</x:v>
      </x:c>
      <x:c r="U30" s="20" t="n">
        <x:v>0</x:v>
      </x:c>
      <x:c r="V30" s="24" t="str">
        <x:f>IF(N30+O30&gt;=1,"PASS","FAIL")</x:f>
        <x:v>PASS</x:v>
      </x:c>
      <x:c r="W30" s="24" t="str">
        <x:f>IF(P30+Q30&gt;=1,"PASS_NON_PEVC",IF(AND(N30=1,O30=1,G30="CLEAR_CONTRAST"),"PASS_ALT_PATH","FAIL"))</x:f>
        <x:v>PASS_NON_PEVC</x:v>
      </x:c>
      <x:c r="X30" s="24" t="str">
        <x:f>IF(R30+S30&gt;=1,"PASS_FULL",IF(T30+U30&gt;=1,"LIMITED_BOUNDARY","NOT_MET"))</x:f>
        <x:v>NOT_MET</x:v>
      </x:c>
      <x:c r="Y30" s="24" t="str">
        <x:f>IF(T30+U30=0,"NOT_APPLICABLE","PASS_WITH_LIMITATION")</x:f>
        <x:v>NOT_APPLICABLE</x:v>
      </x:c>
      <x:c r="Z30" s="20" t="str">
        <x:v>可用于构造机制、路径或交易结构的对照。</x:v>
      </x:c>
      <x:c r="AA30" s="20" t="str">
        <x:v>高互补不表示更优，也不支持因果推断。</x:v>
      </x:c>
      <x:c r="AB30" s="20" t="str">
        <x:v>Stage6C研究判断；约束列为公式计算</x:v>
      </x:c>
    </x:row>
    <x:row r="31" ht="96" customHeight="1">
      <x:c r="A31" s="28" t="str">
        <x:v>P27</x:v>
      </x:c>
      <x:c r="B31" s="28" t="str">
        <x:v>920100</x:v>
      </x:c>
      <x:c r="C31" s="28" t="str">
        <x:v>三协电机</x:v>
      </x:c>
      <x:c r="D31" s="28" t="str">
        <x:v>001282</x:v>
      </x:c>
      <x:c r="E31" s="28" t="str">
        <x:v>三联锻造</x:v>
      </x:c>
      <x:c r="F31" s="20" t="str">
        <x:v>PARTIAL_COMPLEMENT</x:v>
      </x:c>
      <x:c r="G31" s="20" t="str">
        <x:v>CLEAR_CONTRAST</x:v>
      </x:c>
      <x:c r="H31" s="20" t="str">
        <x:v>CLEAR_CONTRAST</x:v>
      </x:c>
      <x:c r="I31" s="20" t="str">
        <x:v>OVERLAP</x:v>
      </x:c>
      <x:c r="J31" s="20" t="str">
        <x:v>OVERLAP</x:v>
      </x:c>
      <x:c r="K31" s="32" t="n">
        <x:v>2</x:v>
      </x:c>
      <x:c r="L31" s="32" t="str">
        <x:v>CLEAR_COMPLEMENT</x:v>
      </x:c>
      <x:c r="M31" s="32" t="str">
        <x:v>融资画像：部分补充；PE/VC路径：清晰差异；主体结构：清晰差异；一级/二级交易：模式重合；证据角色：模式重合。</x:v>
      </x:c>
      <x:c r="N31" s="20" t="n">
        <x:v>1</x:v>
      </x:c>
      <x:c r="O31" s="20" t="n">
        <x:v>0</x:v>
      </x:c>
      <x:c r="P31" s="20" t="n">
        <x:v>0</x:v>
      </x:c>
      <x:c r="Q31" s="20" t="n">
        <x:v>1</x:v>
      </x:c>
      <x:c r="R31" s="20" t="n">
        <x:v>0</x:v>
      </x:c>
      <x:c r="S31" s="20" t="n">
        <x:v>0</x:v>
      </x:c>
      <x:c r="T31" s="20" t="n">
        <x:v>0</x:v>
      </x:c>
      <x:c r="U31" s="20" t="n">
        <x:v>0</x:v>
      </x:c>
      <x:c r="V31" s="24" t="str">
        <x:f>IF(N31+O31&gt;=1,"PASS","FAIL")</x:f>
        <x:v>PASS</x:v>
      </x:c>
      <x:c r="W31" s="24" t="str">
        <x:f>IF(P31+Q31&gt;=1,"PASS_NON_PEVC",IF(AND(N31=1,O31=1,G31="CLEAR_CONTRAST"),"PASS_ALT_PATH","FAIL"))</x:f>
        <x:v>PASS_NON_PEVC</x:v>
      </x:c>
      <x:c r="X31" s="24" t="str">
        <x:f>IF(R31+S31&gt;=1,"PASS_FULL",IF(T31+U31&gt;=1,"LIMITED_BOUNDARY","NOT_MET"))</x:f>
        <x:v>NOT_MET</x:v>
      </x:c>
      <x:c r="Y31" s="24" t="str">
        <x:f>IF(T31+U31=0,"NOT_APPLICABLE","PASS_WITH_LIMITATION")</x:f>
        <x:v>NOT_APPLICABLE</x:v>
      </x:c>
      <x:c r="Z31" s="20" t="str">
        <x:v>可用于构造机制、路径或交易结构的对照。</x:v>
      </x:c>
      <x:c r="AA31" s="20" t="str">
        <x:v>高互补不表示更优，也不支持因果推断。</x:v>
      </x:c>
      <x:c r="AB31" s="20" t="str">
        <x:v>Stage6C研究判断；约束列为公式计算</x:v>
      </x:c>
    </x:row>
    <x:row r="32" ht="96" customHeight="1">
      <x:c r="A32" s="29" t="str">
        <x:v>P28</x:v>
      </x:c>
      <x:c r="B32" s="29" t="str">
        <x:v>920116</x:v>
      </x:c>
      <x:c r="C32" s="29" t="str">
        <x:v>星图测控</x:v>
      </x:c>
      <x:c r="D32" s="29" t="str">
        <x:v>001282</x:v>
      </x:c>
      <x:c r="E32" s="29" t="str">
        <x:v>三联锻造</x:v>
      </x:c>
      <x:c r="F32" s="21" t="str">
        <x:v>PARTIAL_COMPLEMENT</x:v>
      </x:c>
      <x:c r="G32" s="21" t="str">
        <x:v>OVERLAP</x:v>
      </x:c>
      <x:c r="H32" s="21" t="str">
        <x:v>CLEAR_CONTRAST</x:v>
      </x:c>
      <x:c r="I32" s="21" t="str">
        <x:v>OVERLAP</x:v>
      </x:c>
      <x:c r="J32" s="21" t="str">
        <x:v>PARTIAL_COMPLEMENT</x:v>
      </x:c>
      <x:c r="K32" s="33" t="n">
        <x:v>1</x:v>
      </x:c>
      <x:c r="L32" s="33" t="str">
        <x:v>ONE_DIMENSION_COMPLEMENT</x:v>
      </x:c>
      <x:c r="M32" s="33" t="str">
        <x:v>融资画像：部分补充；PE/VC路径：模式重合；主体结构：清晰差异；一级/二级交易：模式重合；证据角色：部分补充。</x:v>
      </x:c>
      <x:c r="N32" s="21" t="n">
        <x:v>0</x:v>
      </x:c>
      <x:c r="O32" s="21" t="n">
        <x:v>0</x:v>
      </x:c>
      <x:c r="P32" s="21" t="n">
        <x:v>1</x:v>
      </x:c>
      <x:c r="Q32" s="21" t="n">
        <x:v>1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5" t="str">
        <x:f>IF(N32+O32&gt;=1,"PASS","FAIL")</x:f>
        <x:v>FAIL</x:v>
      </x:c>
      <x:c r="W32" s="25" t="str">
        <x:f>IF(P32+Q32&gt;=1,"PASS_NON_PEVC",IF(AND(N32=1,O32=1,G32="CLEAR_CONTRAST"),"PASS_ALT_PATH","FAIL"))</x:f>
        <x:v>PASS_NON_PEVC</x:v>
      </x:c>
      <x:c r="X32" s="25" t="str">
        <x:f>IF(R32+S32&gt;=1,"PASS_FULL",IF(T32+U32&gt;=1,"LIMITED_BOUNDARY","NOT_MET"))</x:f>
        <x:v>NOT_MET</x:v>
      </x:c>
      <x:c r="Y32" s="25" t="str">
        <x:f>IF(T32+U32=0,"NOT_APPLICABLE","PASS_WITH_LIMITATION")</x:f>
        <x:v>NOT_APPLICABLE</x:v>
      </x:c>
      <x:c r="Z32" s="21" t="str">
        <x:v>仅适合围绕单一明确差异进行受限比较。</x:v>
      </x:c>
      <x:c r="AA32" s="21" t="str">
        <x:v>不得用金额差异单独升级互补性。</x:v>
      </x:c>
      <x:c r="AB32" s="21" t="str">
        <x:v>Stage6C研究判断；约束列为公式计算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64" t="str">
        <x:v>S6两两互补矩阵</x:v>
      </x:c>
      <x:c r="B1" s="64"/>
      <x:c r="C1" s="64"/>
      <x:c r="D1" s="64"/>
      <x:c r="E1" s="64"/>
      <x:c r="F1" s="64"/>
      <x:c r="G1" s="64"/>
      <x:c r="H1" s="64"/>
      <x:c r="I1" s="64"/>
      <x:c r="J1" s="64"/>
    </x:row>
    <x:row r="2" ht="34" customHeight="1">
      <x:c r="A2" s="65" t="str">
        <x:v>矩阵值引用“两两互补明细”；对角线不适用。数值只表示组合互补性，不是公司得分。</x:v>
      </x:c>
      <x:c r="B2" s="65"/>
      <x:c r="C2" s="65"/>
      <x:c r="D2" s="65"/>
      <x:c r="E2" s="65"/>
      <x:c r="F2" s="65"/>
      <x:c r="G2" s="65"/>
      <x:c r="H2" s="65"/>
      <x:c r="I2" s="65"/>
      <x:c r="J2" s="65"/>
    </x:row>
    <x:row r="3" ht="36" customHeight="1">
      <x:c r="A3" s="69" t="str">
        <x:v>公司ID</x:v>
      </x:c>
      <x:c r="B3" s="69" t="str">
        <x:v>公司名称</x:v>
      </x:c>
      <x:c r="C3" s="70" t="str">
        <x:v>301563</x:v>
      </x:c>
      <x:c r="D3" s="70" t="str">
        <x:v>301581</x:v>
      </x:c>
      <x:c r="E3" s="70" t="str">
        <x:v>603418</x:v>
      </x:c>
      <x:c r="F3" s="70" t="str">
        <x:v>688758</x:v>
      </x:c>
      <x:c r="G3" s="70" t="str">
        <x:v>688775</x:v>
      </x:c>
      <x:c r="H3" s="70" t="str">
        <x:v>920100</x:v>
      </x:c>
      <x:c r="I3" s="70" t="str">
        <x:v>920116</x:v>
      </x:c>
      <x:c r="J3" s="70" t="str">
        <x:v>001282</x:v>
      </x:c>
    </x:row>
    <x:row r="4" ht="36" customHeight="1">
      <x:c r="A4" s="69"/>
      <x:c r="B4" s="69"/>
      <x:c r="C4" s="69" t="str">
        <x:v>云汉芯城</x:v>
      </x:c>
      <x:c r="D4" s="69" t="str">
        <x:v>黄山谷捷</x:v>
      </x:c>
      <x:c r="E4" s="69" t="str">
        <x:v>友升股份</x:v>
      </x:c>
      <x:c r="F4" s="69" t="str">
        <x:v>赛分科技</x:v>
      </x:c>
      <x:c r="G4" s="69" t="str">
        <x:v>影石创新</x:v>
      </x:c>
      <x:c r="H4" s="69" t="str">
        <x:v>三协电机</x:v>
      </x:c>
      <x:c r="I4" s="69" t="str">
        <x:v>星图测控</x:v>
      </x:c>
      <x:c r="J4" s="69" t="str">
        <x:v>三联锻造</x:v>
      </x:c>
    </x:row>
    <x:row r="5" ht="34" customHeight="1">
      <x:c r="A5" s="71" t="str">
        <x:v>301563</x:v>
      </x:c>
      <x:c r="B5" s="72" t="str">
        <x:v>云汉芯城</x:v>
      </x:c>
      <x:c r="C5" s="73" t="str">
        <x:v>—</x:v>
      </x:c>
      <x:c r="D5" s="73" t="n">
        <x:f>SUMIFS('两两互补明细'!$K$5:$K$32,'两两互补明细'!$B$5:$B$32,$A5,'两两互补明细'!$D$5:$D$32,D$3)+SUMIFS('两两互补明细'!$K$5:$K$32,'两两互补明细'!$D$5:$D$32,$A5,'两两互补明细'!$B$5:$B$32,D$3)</x:f>
        <x:v>1</x:v>
      </x:c>
      <x:c r="E5" s="73" t="n">
        <x:f>SUMIFS('两两互补明细'!$K$5:$K$32,'两两互补明细'!$B$5:$B$32,$A5,'两两互补明细'!$D$5:$D$32,E$3)+SUMIFS('两两互补明细'!$K$5:$K$32,'两两互补明细'!$D$5:$D$32,$A5,'两两互补明细'!$B$5:$B$32,E$3)</x:f>
        <x:v>2</x:v>
      </x:c>
      <x:c r="F5" s="73" t="n">
        <x:f>SUMIFS('两两互补明细'!$K$5:$K$32,'两两互补明细'!$B$5:$B$32,$A5,'两两互补明细'!$D$5:$D$32,F$3)+SUMIFS('两两互补明细'!$K$5:$K$32,'两两互补明细'!$D$5:$D$32,$A5,'两两互补明细'!$B$5:$B$32,F$3)</x:f>
        <x:v>2</x:v>
      </x:c>
      <x:c r="G5" s="73" t="n">
        <x:f>SUMIFS('两两互补明细'!$K$5:$K$32,'两两互补明细'!$B$5:$B$32,$A5,'两两互补明细'!$D$5:$D$32,G$3)+SUMIFS('两两互补明细'!$K$5:$K$32,'两两互补明细'!$D$5:$D$32,$A5,'两两互补明细'!$B$5:$B$32,G$3)</x:f>
        <x:v>2</x:v>
      </x:c>
      <x:c r="H5" s="73" t="n">
        <x:f>SUMIFS('两两互补明细'!$K$5:$K$32,'两两互补明细'!$B$5:$B$32,$A5,'两两互补明细'!$D$5:$D$32,H$3)+SUMIFS('两两互补明细'!$K$5:$K$32,'两两互补明细'!$D$5:$D$32,$A5,'两两互补明细'!$B$5:$B$32,H$3)</x:f>
        <x:v>2</x:v>
      </x:c>
      <x:c r="I5" s="73" t="n">
        <x:f>SUMIFS('两两互补明细'!$K$5:$K$32,'两两互补明细'!$B$5:$B$32,$A5,'两两互补明细'!$D$5:$D$32,I$3)+SUMIFS('两两互补明细'!$K$5:$K$32,'两两互补明细'!$D$5:$D$32,$A5,'两两互补明细'!$B$5:$B$32,I$3)</x:f>
        <x:v>2</x:v>
      </x:c>
      <x:c r="J5" s="73" t="n">
        <x:f>SUMIFS('两两互补明细'!$K$5:$K$32,'两两互补明细'!$B$5:$B$32,$A5,'两两互补明细'!$D$5:$D$32,J$3)+SUMIFS('两两互补明细'!$K$5:$K$32,'两两互补明细'!$D$5:$D$32,$A5,'两两互补明细'!$B$5:$B$32,J$3)</x:f>
        <x:v>2</x:v>
      </x:c>
    </x:row>
    <x:row r="6" ht="34" customHeight="1">
      <x:c r="A6" s="71" t="str">
        <x:v>301581</x:v>
      </x:c>
      <x:c r="B6" s="72" t="str">
        <x:v>黄山谷捷</x:v>
      </x:c>
      <x:c r="C6" s="73" t="n">
        <x:f>SUMIFS('两两互补明细'!$K$5:$K$32,'两两互补明细'!$B$5:$B$32,$A6,'两两互补明细'!$D$5:$D$32,C$3)+SUMIFS('两两互补明细'!$K$5:$K$32,'两两互补明细'!$D$5:$D$32,$A6,'两两互补明细'!$B$5:$B$32,C$3)</x:f>
        <x:v>1</x:v>
      </x:c>
      <x:c r="D6" s="73" t="str">
        <x:v>—</x:v>
      </x:c>
      <x:c r="E6" s="73" t="n">
        <x:f>SUMIFS('两两互补明细'!$K$5:$K$32,'两两互补明细'!$B$5:$B$32,$A6,'两两互补明细'!$D$5:$D$32,E$3)+SUMIFS('两两互补明细'!$K$5:$K$32,'两两互补明细'!$D$5:$D$32,$A6,'两两互补明细'!$B$5:$B$32,E$3)</x:f>
        <x:v>2</x:v>
      </x:c>
      <x:c r="F6" s="73" t="n">
        <x:f>SUMIFS('两两互补明细'!$K$5:$K$32,'两两互补明细'!$B$5:$B$32,$A6,'两两互补明细'!$D$5:$D$32,F$3)+SUMIFS('两两互补明细'!$K$5:$K$32,'两两互补明细'!$D$5:$D$32,$A6,'两两互补明细'!$B$5:$B$32,F$3)</x:f>
        <x:v>2</x:v>
      </x:c>
      <x:c r="G6" s="73" t="n">
        <x:f>SUMIFS('两两互补明细'!$K$5:$K$32,'两两互补明细'!$B$5:$B$32,$A6,'两两互补明细'!$D$5:$D$32,G$3)+SUMIFS('两两互补明细'!$K$5:$K$32,'两两互补明细'!$D$5:$D$32,$A6,'两两互补明细'!$B$5:$B$32,G$3)</x:f>
        <x:v>2</x:v>
      </x:c>
      <x:c r="H6" s="73" t="n">
        <x:f>SUMIFS('两两互补明细'!$K$5:$K$32,'两两互补明细'!$B$5:$B$32,$A6,'两两互补明细'!$D$5:$D$32,H$3)+SUMIFS('两两互补明细'!$K$5:$K$32,'两两互补明细'!$D$5:$D$32,$A6,'两两互补明细'!$B$5:$B$32,H$3)</x:f>
        <x:v>2</x:v>
      </x:c>
      <x:c r="I6" s="73" t="n">
        <x:f>SUMIFS('两两互补明细'!$K$5:$K$32,'两两互补明细'!$B$5:$B$32,$A6,'两两互补明细'!$D$5:$D$32,I$3)+SUMIFS('两两互补明细'!$K$5:$K$32,'两两互补明细'!$D$5:$D$32,$A6,'两两互补明细'!$B$5:$B$32,I$3)</x:f>
        <x:v>1</x:v>
      </x:c>
      <x:c r="J6" s="73" t="n">
        <x:f>SUMIFS('两两互补明细'!$K$5:$K$32,'两两互补明细'!$B$5:$B$32,$A6,'两两互补明细'!$D$5:$D$32,J$3)+SUMIFS('两两互补明细'!$K$5:$K$32,'两两互补明细'!$D$5:$D$32,$A6,'两两互补明细'!$B$5:$B$32,J$3)</x:f>
        <x:v>2</x:v>
      </x:c>
    </x:row>
    <x:row r="7" ht="34" customHeight="1">
      <x:c r="A7" s="71" t="str">
        <x:v>603418</x:v>
      </x:c>
      <x:c r="B7" s="72" t="str">
        <x:v>友升股份</x:v>
      </x:c>
      <x:c r="C7" s="73" t="n">
        <x:f>SUMIFS('两两互补明细'!$K$5:$K$32,'两两互补明细'!$B$5:$B$32,$A7,'两两互补明细'!$D$5:$D$32,C$3)+SUMIFS('两两互补明细'!$K$5:$K$32,'两两互补明细'!$D$5:$D$32,$A7,'两两互补明细'!$B$5:$B$32,C$3)</x:f>
        <x:v>2</x:v>
      </x:c>
      <x:c r="D7" s="73" t="n">
        <x:f>SUMIFS('两两互补明细'!$K$5:$K$32,'两两互补明细'!$B$5:$B$32,$A7,'两两互补明细'!$D$5:$D$32,D$3)+SUMIFS('两两互补明细'!$K$5:$K$32,'两两互补明细'!$D$5:$D$32,$A7,'两两互补明细'!$B$5:$B$32,D$3)</x:f>
        <x:v>2</x:v>
      </x:c>
      <x:c r="E7" s="73" t="str">
        <x:v>—</x:v>
      </x:c>
      <x:c r="F7" s="73" t="n">
        <x:f>SUMIFS('两两互补明细'!$K$5:$K$32,'两两互补明细'!$B$5:$B$32,$A7,'两两互补明细'!$D$5:$D$32,F$3)+SUMIFS('两两互补明细'!$K$5:$K$32,'两两互补明细'!$D$5:$D$32,$A7,'两两互补明细'!$B$5:$B$32,F$3)</x:f>
        <x:v>2</x:v>
      </x:c>
      <x:c r="G7" s="73" t="n">
        <x:f>SUMIFS('两两互补明细'!$K$5:$K$32,'两两互补明细'!$B$5:$B$32,$A7,'两两互补明细'!$D$5:$D$32,G$3)+SUMIFS('两两互补明细'!$K$5:$K$32,'两两互补明细'!$D$5:$D$32,$A7,'两两互补明细'!$B$5:$B$32,G$3)</x:f>
        <x:v>2</x:v>
      </x:c>
      <x:c r="H7" s="73" t="n">
        <x:f>SUMIFS('两两互补明细'!$K$5:$K$32,'两两互补明细'!$B$5:$B$32,$A7,'两两互补明细'!$D$5:$D$32,H$3)+SUMIFS('两两互补明细'!$K$5:$K$32,'两两互补明细'!$D$5:$D$32,$A7,'两两互补明细'!$B$5:$B$32,H$3)</x:f>
        <x:v>1</x:v>
      </x:c>
      <x:c r="I7" s="73" t="n">
        <x:f>SUMIFS('两两互补明细'!$K$5:$K$32,'两两互补明细'!$B$5:$B$32,$A7,'两两互补明细'!$D$5:$D$32,I$3)+SUMIFS('两两互补明细'!$K$5:$K$32,'两两互补明细'!$D$5:$D$32,$A7,'两两互补明细'!$B$5:$B$32,I$3)</x:f>
        <x:v>2</x:v>
      </x:c>
      <x:c r="J7" s="73" t="n">
        <x:f>SUMIFS('两两互补明细'!$K$5:$K$32,'两两互补明细'!$B$5:$B$32,$A7,'两两互补明细'!$D$5:$D$32,J$3)+SUMIFS('两两互补明细'!$K$5:$K$32,'两两互补明细'!$D$5:$D$32,$A7,'两两互补明细'!$B$5:$B$32,J$3)</x:f>
        <x:v>2</x:v>
      </x:c>
    </x:row>
    <x:row r="8" ht="34" customHeight="1">
      <x:c r="A8" s="71" t="str">
        <x:v>688758</x:v>
      </x:c>
      <x:c r="B8" s="72" t="str">
        <x:v>赛分科技</x:v>
      </x:c>
      <x:c r="C8" s="73" t="n">
        <x:f>SUMIFS('两两互补明细'!$K$5:$K$32,'两两互补明细'!$B$5:$B$32,$A8,'两两互补明细'!$D$5:$D$32,C$3)+SUMIFS('两两互补明细'!$K$5:$K$32,'两两互补明细'!$D$5:$D$32,$A8,'两两互补明细'!$B$5:$B$32,C$3)</x:f>
        <x:v>2</x:v>
      </x:c>
      <x:c r="D8" s="73" t="n">
        <x:f>SUMIFS('两两互补明细'!$K$5:$K$32,'两两互补明细'!$B$5:$B$32,$A8,'两两互补明细'!$D$5:$D$32,D$3)+SUMIFS('两两互补明细'!$K$5:$K$32,'两两互补明细'!$D$5:$D$32,$A8,'两两互补明细'!$B$5:$B$32,D$3)</x:f>
        <x:v>2</x:v>
      </x:c>
      <x:c r="E8" s="73" t="n">
        <x:f>SUMIFS('两两互补明细'!$K$5:$K$32,'两两互补明细'!$B$5:$B$32,$A8,'两两互补明细'!$D$5:$D$32,E$3)+SUMIFS('两两互补明细'!$K$5:$K$32,'两两互补明细'!$D$5:$D$32,$A8,'两两互补明细'!$B$5:$B$32,E$3)</x:f>
        <x:v>2</x:v>
      </x:c>
      <x:c r="F8" s="73" t="str">
        <x:v>—</x:v>
      </x:c>
      <x:c r="G8" s="73" t="n">
        <x:f>SUMIFS('两两互补明细'!$K$5:$K$32,'两两互补明细'!$B$5:$B$32,$A8,'两两互补明细'!$D$5:$D$32,G$3)+SUMIFS('两两互补明细'!$K$5:$K$32,'两两互补明细'!$D$5:$D$32,$A8,'两两互补明细'!$B$5:$B$32,G$3)</x:f>
        <x:v>2</x:v>
      </x:c>
      <x:c r="H8" s="73" t="n">
        <x:f>SUMIFS('两两互补明细'!$K$5:$K$32,'两两互补明细'!$B$5:$B$32,$A8,'两两互补明细'!$D$5:$D$32,H$3)+SUMIFS('两两互补明细'!$K$5:$K$32,'两两互补明细'!$D$5:$D$32,$A8,'两两互补明细'!$B$5:$B$32,H$3)</x:f>
        <x:v>2</x:v>
      </x:c>
      <x:c r="I8" s="73" t="n">
        <x:f>SUMIFS('两两互补明细'!$K$5:$K$32,'两两互补明细'!$B$5:$B$32,$A8,'两两互补明细'!$D$5:$D$32,I$3)+SUMIFS('两两互补明细'!$K$5:$K$32,'两两互补明细'!$D$5:$D$32,$A8,'两两互补明细'!$B$5:$B$32,I$3)</x:f>
        <x:v>2</x:v>
      </x:c>
      <x:c r="J8" s="73" t="n">
        <x:f>SUMIFS('两两互补明细'!$K$5:$K$32,'两两互补明细'!$B$5:$B$32,$A8,'两两互补明细'!$D$5:$D$32,J$3)+SUMIFS('两两互补明细'!$K$5:$K$32,'两两互补明细'!$D$5:$D$32,$A8,'两两互补明细'!$B$5:$B$32,J$3)</x:f>
        <x:v>2</x:v>
      </x:c>
    </x:row>
    <x:row r="9" ht="34" customHeight="1">
      <x:c r="A9" s="71" t="str">
        <x:v>688775</x:v>
      </x:c>
      <x:c r="B9" s="72" t="str">
        <x:v>影石创新</x:v>
      </x:c>
      <x:c r="C9" s="73" t="n">
        <x:f>SUMIFS('两两互补明细'!$K$5:$K$32,'两两互补明细'!$B$5:$B$32,$A9,'两两互补明细'!$D$5:$D$32,C$3)+SUMIFS('两两互补明细'!$K$5:$K$32,'两两互补明细'!$D$5:$D$32,$A9,'两两互补明细'!$B$5:$B$32,C$3)</x:f>
        <x:v>2</x:v>
      </x:c>
      <x:c r="D9" s="73" t="n">
        <x:f>SUMIFS('两两互补明细'!$K$5:$K$32,'两两互补明细'!$B$5:$B$32,$A9,'两两互补明细'!$D$5:$D$32,D$3)+SUMIFS('两两互补明细'!$K$5:$K$32,'两两互补明细'!$D$5:$D$32,$A9,'两两互补明细'!$B$5:$B$32,D$3)</x:f>
        <x:v>2</x:v>
      </x:c>
      <x:c r="E9" s="73" t="n">
        <x:f>SUMIFS('两两互补明细'!$K$5:$K$32,'两两互补明细'!$B$5:$B$32,$A9,'两两互补明细'!$D$5:$D$32,E$3)+SUMIFS('两两互补明细'!$K$5:$K$32,'两两互补明细'!$D$5:$D$32,$A9,'两两互补明细'!$B$5:$B$32,E$3)</x:f>
        <x:v>2</x:v>
      </x:c>
      <x:c r="F9" s="73" t="n">
        <x:f>SUMIFS('两两互补明细'!$K$5:$K$32,'两两互补明细'!$B$5:$B$32,$A9,'两两互补明细'!$D$5:$D$32,F$3)+SUMIFS('两两互补明细'!$K$5:$K$32,'两两互补明细'!$D$5:$D$32,$A9,'两两互补明细'!$B$5:$B$32,F$3)</x:f>
        <x:v>2</x:v>
      </x:c>
      <x:c r="G9" s="73" t="str">
        <x:v>—</x:v>
      </x:c>
      <x:c r="H9" s="73" t="n">
        <x:f>SUMIFS('两两互补明细'!$K$5:$K$32,'两两互补明细'!$B$5:$B$32,$A9,'两两互补明细'!$D$5:$D$32,H$3)+SUMIFS('两两互补明细'!$K$5:$K$32,'两两互补明细'!$D$5:$D$32,$A9,'两两互补明细'!$B$5:$B$32,H$3)</x:f>
        <x:v>2</x:v>
      </x:c>
      <x:c r="I9" s="73" t="n">
        <x:f>SUMIFS('两两互补明细'!$K$5:$K$32,'两两互补明细'!$B$5:$B$32,$A9,'两两互补明细'!$D$5:$D$32,I$3)+SUMIFS('两两互补明细'!$K$5:$K$32,'两两互补明细'!$D$5:$D$32,$A9,'两两互补明细'!$B$5:$B$32,I$3)</x:f>
        <x:v>2</x:v>
      </x:c>
      <x:c r="J9" s="73" t="n">
        <x:f>SUMIFS('两两互补明细'!$K$5:$K$32,'两两互补明细'!$B$5:$B$32,$A9,'两两互补明细'!$D$5:$D$32,J$3)+SUMIFS('两两互补明细'!$K$5:$K$32,'两两互补明细'!$D$5:$D$32,$A9,'两两互补明细'!$B$5:$B$32,J$3)</x:f>
        <x:v>2</x:v>
      </x:c>
    </x:row>
    <x:row r="10" ht="34" customHeight="1">
      <x:c r="A10" s="71" t="str">
        <x:v>920100</x:v>
      </x:c>
      <x:c r="B10" s="72" t="str">
        <x:v>三协电机</x:v>
      </x:c>
      <x:c r="C10" s="73" t="n">
        <x:f>SUMIFS('两两互补明细'!$K$5:$K$32,'两两互补明细'!$B$5:$B$32,$A10,'两两互补明细'!$D$5:$D$32,C$3)+SUMIFS('两两互补明细'!$K$5:$K$32,'两两互补明细'!$D$5:$D$32,$A10,'两两互补明细'!$B$5:$B$32,C$3)</x:f>
        <x:v>2</x:v>
      </x:c>
      <x:c r="D10" s="73" t="n">
        <x:f>SUMIFS('两两互补明细'!$K$5:$K$32,'两两互补明细'!$B$5:$B$32,$A10,'两两互补明细'!$D$5:$D$32,D$3)+SUMIFS('两两互补明细'!$K$5:$K$32,'两两互补明细'!$D$5:$D$32,$A10,'两两互补明细'!$B$5:$B$32,D$3)</x:f>
        <x:v>2</x:v>
      </x:c>
      <x:c r="E10" s="73" t="n">
        <x:f>SUMIFS('两两互补明细'!$K$5:$K$32,'两两互补明细'!$B$5:$B$32,$A10,'两两互补明细'!$D$5:$D$32,E$3)+SUMIFS('两两互补明细'!$K$5:$K$32,'两两互补明细'!$D$5:$D$32,$A10,'两两互补明细'!$B$5:$B$32,E$3)</x:f>
        <x:v>1</x:v>
      </x:c>
      <x:c r="F10" s="73" t="n">
        <x:f>SUMIFS('两两互补明细'!$K$5:$K$32,'两两互补明细'!$B$5:$B$32,$A10,'两两互补明细'!$D$5:$D$32,F$3)+SUMIFS('两两互补明细'!$K$5:$K$32,'两两互补明细'!$D$5:$D$32,$A10,'两两互补明细'!$B$5:$B$32,F$3)</x:f>
        <x:v>2</x:v>
      </x:c>
      <x:c r="G10" s="73" t="n">
        <x:f>SUMIFS('两两互补明细'!$K$5:$K$32,'两两互补明细'!$B$5:$B$32,$A10,'两两互补明细'!$D$5:$D$32,G$3)+SUMIFS('两两互补明细'!$K$5:$K$32,'两两互补明细'!$D$5:$D$32,$A10,'两两互补明细'!$B$5:$B$32,G$3)</x:f>
        <x:v>2</x:v>
      </x:c>
      <x:c r="H10" s="73" t="str">
        <x:v>—</x:v>
      </x:c>
      <x:c r="I10" s="73" t="n">
        <x:f>SUMIFS('两两互补明细'!$K$5:$K$32,'两两互补明细'!$B$5:$B$32,$A10,'两两互补明细'!$D$5:$D$32,I$3)+SUMIFS('两两互补明细'!$K$5:$K$32,'两两互补明细'!$D$5:$D$32,$A10,'两两互补明细'!$B$5:$B$32,I$3)</x:f>
        <x:v>2</x:v>
      </x:c>
      <x:c r="J10" s="73" t="n">
        <x:f>SUMIFS('两两互补明细'!$K$5:$K$32,'两两互补明细'!$B$5:$B$32,$A10,'两两互补明细'!$D$5:$D$32,J$3)+SUMIFS('两两互补明细'!$K$5:$K$32,'两两互补明细'!$D$5:$D$32,$A10,'两两互补明细'!$B$5:$B$32,J$3)</x:f>
        <x:v>2</x:v>
      </x:c>
    </x:row>
    <x:row r="11" ht="34" customHeight="1">
      <x:c r="A11" s="71" t="str">
        <x:v>920116</x:v>
      </x:c>
      <x:c r="B11" s="72" t="str">
        <x:v>星图测控</x:v>
      </x:c>
      <x:c r="C11" s="73" t="n">
        <x:f>SUMIFS('两两互补明细'!$K$5:$K$32,'两两互补明细'!$B$5:$B$32,$A11,'两两互补明细'!$D$5:$D$32,C$3)+SUMIFS('两两互补明细'!$K$5:$K$32,'两两互补明细'!$D$5:$D$32,$A11,'两两互补明细'!$B$5:$B$32,C$3)</x:f>
        <x:v>2</x:v>
      </x:c>
      <x:c r="D11" s="73" t="n">
        <x:f>SUMIFS('两两互补明细'!$K$5:$K$32,'两两互补明细'!$B$5:$B$32,$A11,'两两互补明细'!$D$5:$D$32,D$3)+SUMIFS('两两互补明细'!$K$5:$K$32,'两两互补明细'!$D$5:$D$32,$A11,'两两互补明细'!$B$5:$B$32,D$3)</x:f>
        <x:v>1</x:v>
      </x:c>
      <x:c r="E11" s="73" t="n">
        <x:f>SUMIFS('两两互补明细'!$K$5:$K$32,'两两互补明细'!$B$5:$B$32,$A11,'两两互补明细'!$D$5:$D$32,E$3)+SUMIFS('两两互补明细'!$K$5:$K$32,'两两互补明细'!$D$5:$D$32,$A11,'两两互补明细'!$B$5:$B$32,E$3)</x:f>
        <x:v>2</x:v>
      </x:c>
      <x:c r="F11" s="73" t="n">
        <x:f>SUMIFS('两两互补明细'!$K$5:$K$32,'两两互补明细'!$B$5:$B$32,$A11,'两两互补明细'!$D$5:$D$32,F$3)+SUMIFS('两两互补明细'!$K$5:$K$32,'两两互补明细'!$D$5:$D$32,$A11,'两两互补明细'!$B$5:$B$32,F$3)</x:f>
        <x:v>2</x:v>
      </x:c>
      <x:c r="G11" s="73" t="n">
        <x:f>SUMIFS('两两互补明细'!$K$5:$K$32,'两两互补明细'!$B$5:$B$32,$A11,'两两互补明细'!$D$5:$D$32,G$3)+SUMIFS('两两互补明细'!$K$5:$K$32,'两两互补明细'!$D$5:$D$32,$A11,'两两互补明细'!$B$5:$B$32,G$3)</x:f>
        <x:v>2</x:v>
      </x:c>
      <x:c r="H11" s="73" t="n">
        <x:f>SUMIFS('两两互补明细'!$K$5:$K$32,'两两互补明细'!$B$5:$B$32,$A11,'两两互补明细'!$D$5:$D$32,H$3)+SUMIFS('两两互补明细'!$K$5:$K$32,'两两互补明细'!$D$5:$D$32,$A11,'两两互补明细'!$B$5:$B$32,H$3)</x:f>
        <x:v>2</x:v>
      </x:c>
      <x:c r="I11" s="73" t="str">
        <x:v>—</x:v>
      </x:c>
      <x:c r="J11" s="73" t="n">
        <x:f>SUMIFS('两两互补明细'!$K$5:$K$32,'两两互补明细'!$B$5:$B$32,$A11,'两两互补明细'!$D$5:$D$32,J$3)+SUMIFS('两两互补明细'!$K$5:$K$32,'两两互补明细'!$D$5:$D$32,$A11,'两两互补明细'!$B$5:$B$32,J$3)</x:f>
        <x:v>1</x:v>
      </x:c>
    </x:row>
    <x:row r="12" ht="34" customHeight="1">
      <x:c r="A12" s="71" t="str">
        <x:v>001282</x:v>
      </x:c>
      <x:c r="B12" s="72" t="str">
        <x:v>三联锻造</x:v>
      </x:c>
      <x:c r="C12" s="73" t="n">
        <x:f>SUMIFS('两两互补明细'!$K$5:$K$32,'两两互补明细'!$B$5:$B$32,$A12,'两两互补明细'!$D$5:$D$32,C$3)+SUMIFS('两两互补明细'!$K$5:$K$32,'两两互补明细'!$D$5:$D$32,$A12,'两两互补明细'!$B$5:$B$32,C$3)</x:f>
        <x:v>2</x:v>
      </x:c>
      <x:c r="D12" s="73" t="n">
        <x:f>SUMIFS('两两互补明细'!$K$5:$K$32,'两两互补明细'!$B$5:$B$32,$A12,'两两互补明细'!$D$5:$D$32,D$3)+SUMIFS('两两互补明细'!$K$5:$K$32,'两两互补明细'!$D$5:$D$32,$A12,'两两互补明细'!$B$5:$B$32,D$3)</x:f>
        <x:v>2</x:v>
      </x:c>
      <x:c r="E12" s="73" t="n">
        <x:f>SUMIFS('两两互补明细'!$K$5:$K$32,'两两互补明细'!$B$5:$B$32,$A12,'两两互补明细'!$D$5:$D$32,E$3)+SUMIFS('两两互补明细'!$K$5:$K$32,'两两互补明细'!$D$5:$D$32,$A12,'两两互补明细'!$B$5:$B$32,E$3)</x:f>
        <x:v>2</x:v>
      </x:c>
      <x:c r="F12" s="73" t="n">
        <x:f>SUMIFS('两两互补明细'!$K$5:$K$32,'两两互补明细'!$B$5:$B$32,$A12,'两两互补明细'!$D$5:$D$32,F$3)+SUMIFS('两两互补明细'!$K$5:$K$32,'两两互补明细'!$D$5:$D$32,$A12,'两两互补明细'!$B$5:$B$32,F$3)</x:f>
        <x:v>2</x:v>
      </x:c>
      <x:c r="G12" s="73" t="n">
        <x:f>SUMIFS('两两互补明细'!$K$5:$K$32,'两两互补明细'!$B$5:$B$32,$A12,'两两互补明细'!$D$5:$D$32,G$3)+SUMIFS('两两互补明细'!$K$5:$K$32,'两两互补明细'!$D$5:$D$32,$A12,'两两互补明细'!$B$5:$B$32,G$3)</x:f>
        <x:v>2</x:v>
      </x:c>
      <x:c r="H12" s="73" t="n">
        <x:f>SUMIFS('两两互补明细'!$K$5:$K$32,'两两互补明细'!$B$5:$B$32,$A12,'两两互补明细'!$D$5:$D$32,H$3)+SUMIFS('两两互补明细'!$K$5:$K$32,'两两互补明细'!$D$5:$D$32,$A12,'两两互补明细'!$B$5:$B$32,H$3)</x:f>
        <x:v>2</x:v>
      </x:c>
      <x:c r="I12" s="73" t="n">
        <x:f>SUMIFS('两两互补明细'!$K$5:$K$32,'两两互补明细'!$B$5:$B$32,$A12,'两两互补明细'!$D$5:$D$32,I$3)+SUMIFS('两两互补明细'!$K$5:$K$32,'两两互补明细'!$D$5:$D$32,$A12,'两两互补明细'!$B$5:$B$32,I$3)</x:f>
        <x:v>1</x:v>
      </x:c>
      <x:c r="J12" s="73" t="str">
        <x:v>—</x:v>
      </x:c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</x:row>
    <x:row r="14" ht="36" customHeight="1">
      <x:c r="A14" s="74" t="str">
        <x:v>读取方式：2=形成清晰实质对照或明确方法边界；1=只补充一个维度；0=高度重合。矩阵不得按行求和。</x:v>
      </x:c>
      <x:c r="B14" s="74"/>
      <x:c r="C14" s="74"/>
      <x:c r="D14" s="74"/>
      <x:c r="E14" s="74"/>
      <x:c r="F14" s="74"/>
      <x:c r="G14" s="74"/>
      <x:c r="H14" s="74"/>
      <x:c r="I14" s="74"/>
      <x:c r="J14" s="74"/>
    </x:row>
  </x:sheetData>
  <x:mergeCells>
    <x:mergeCell ref="A1:J1"/>
    <x:mergeCell ref="A2:J2"/>
    <x:mergeCell ref="A14:J14"/>
  </x:mergeCells>
  <x:conditionalFormatting sqref="C5:J12">
    <x:cfRule type="cellIs" dxfId="0" priority="1" operator="equal">
      <x:formula>2</x:formula>
    </x:cfRule>
    <x:cfRule type="cellIs" dxfId="1" priority="2" operator="equal">
      <x:formula>1</x:formula>
    </x:cfRule>
    <x:cfRule type="cellIs" dxfId="2" priority="3" operator="equal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32" hidden="0" customWidth="1"/>
    <x:col min="5" max="5" width="32" hidden="0" customWidth="1"/>
    <x:col min="6" max="6" width="32" hidden="0" customWidth="1"/>
    <x:col min="7" max="7" width="58" hidden="0" customWidth="1"/>
    <x:col min="8" max="8" width="32" hidden="0" customWidth="1"/>
  </x:cols>
  <x:sheetData>
    <x:row r="1" ht="30" customHeight="1">
      <x:c r="A1" s="64" t="str">
        <x:v>P1—P4组合约束检查</x:v>
      </x:c>
      <x:c r="B1" s="64"/>
      <x:c r="C1" s="64"/>
      <x:c r="D1" s="64"/>
      <x:c r="E1" s="64"/>
      <x:c r="F1" s="64"/>
      <x:c r="G1" s="64"/>
      <x:c r="H1" s="64"/>
    </x:row>
    <x:row r="2" ht="34" customHeight="1">
      <x:c r="A2" s="65" t="str">
        <x:v>约束是进入候选组合的必要条件，不是评分项；不同研究主题仍需人工选择。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 ht="38" customHeight="1">
      <x:c r="A4" s="68" t="str">
        <x:v>约束ID</x:v>
      </x:c>
      <x:c r="B4" s="68" t="str">
        <x:v>组合要求</x:v>
      </x:c>
      <x:c r="C4" s="68" t="str">
        <x:v>公式口径</x:v>
      </x:c>
      <x:c r="D4" s="68" t="str">
        <x:v>候选PASS/适用数</x:v>
      </x:c>
      <x:c r="E4" s="68" t="str">
        <x:v>候选不足数</x:v>
      </x:c>
      <x:c r="F4" s="68" t="str">
        <x:v>两两组合提示</x:v>
      </x:c>
      <x:c r="G4" s="68" t="str">
        <x:v>解释边界</x:v>
      </x:c>
      <x:c r="H4" s="68" t="str">
        <x:v>状态</x:v>
      </x:c>
    </x:row>
    <x:row r="5" ht="68" customHeight="1">
      <x:c r="A5" s="20" t="str">
        <x:v>P1</x:v>
      </x:c>
      <x:c r="B5" s="20" t="str">
        <x:v>至少一家具备可识别PE/VC进入路径</x:v>
      </x:c>
      <x:c r="C5" s="20" t="str">
        <x:v>候选组合PEVC路径标志之和≥1</x:v>
      </x:c>
      <x:c r="D5" s="26" t="n">
        <x:f>COUNTIF('候选组合画像'!$L$5:$L$12,"PASS")</x:f>
        <x:v>8</x:v>
      </x:c>
      <x:c r="E5" s="26" t="n">
        <x:f>8-D5</x:f>
        <x:v>0</x:v>
      </x:c>
      <x:c r="F5" s="26" t="n">
        <x:f>COUNTIF('两两互补明细'!$V$5:$V$32,"PASS")</x:f>
        <x:v>18</x:v>
      </x:c>
      <x:c r="G5" s="20" t="str">
        <x:v>保证机制问题有实体支撑，不代表PE/VC质量。</x:v>
      </x:c>
      <x:c r="H5" s="56" t="str">
        <x:f>IF(E5=0,"PASS","REVIEW")</x:f>
        <x:v>PASS</x:v>
      </x:c>
    </x:row>
    <x:row r="6" ht="68" customHeight="1">
      <x:c r="A6" s="20" t="str">
        <x:v>P2</x:v>
      </x:c>
      <x:c r="B6" s="20" t="str">
        <x:v>至少含无确认PE/VC或明显不同路径</x:v>
      </x:c>
      <x:c r="C6" s="20" t="str">
        <x:v>非PEVC对照≥1，或深度路径与晚期路径并存</x:v>
      </x:c>
      <x:c r="D6" s="26" t="n">
        <x:f>COUNTIF('候选组合画像'!$M$5:$M$12,"PASS_NON_PEVC")+COUNTIF('候选组合画像'!$M$5:$M$12,"PASS_ALT_PATH")</x:f>
        <x:v>8</x:v>
      </x:c>
      <x:c r="E6" s="26" t="n">
        <x:f>8-D6</x:f>
        <x:v>0</x:v>
      </x:c>
      <x:c r="F6" s="26" t="n">
        <x:f>COUNTIF('两两互补明细'!$W$5:$W$32,"PASS_NON_PEVC")+COUNTIF('两两互补明细'!$W$5:$W$32,"PASS_ALT_PATH")</x:f>
        <x:v>24</x:v>
      </x:c>
      <x:c r="G6" s="20" t="str">
        <x:v>未确认不等于绝对不存在。</x:v>
      </x:c>
      <x:c r="H6" s="56" t="str">
        <x:f>IF(E6=0,"PASS","REVIEW")</x:f>
        <x:v>PASS</x:v>
      </x:c>
    </x:row>
    <x:row r="7" ht="68" customHeight="1">
      <x:c r="A7" s="20" t="str">
        <x:v>P3</x:v>
      </x:c>
      <x:c r="B7" s="20" t="str">
        <x:v>至少一家完整转让案例</x:v>
      </x:c>
      <x:c r="C7" s="20" t="str">
        <x:v>完整转让标志之和≥1</x:v>
      </x:c>
      <x:c r="D7" s="26" t="n">
        <x:f>COUNTIF('候选组合画像'!$N$5:$N$12,"PASS_FULL")</x:f>
        <x:v>8</x:v>
      </x:c>
      <x:c r="E7" s="26" t="n">
        <x:f>8-D7</x:f>
        <x:v>0</x:v>
      </x:c>
      <x:c r="F7" s="26" t="n">
        <x:f>COUNTIF('两两互补明细'!$X$5:$X$32,"PASS_FULL")</x:f>
        <x:v>18</x:v>
      </x:c>
      <x:c r="G7" s="20" t="str">
        <x:v>若只有边界转让信息，仅能标记LIMITED。</x:v>
      </x:c>
      <x:c r="H7" s="56" t="str">
        <x:f>IF(E7=0,"PASS","REVIEW")</x:f>
        <x:v>PASS</x:v>
      </x:c>
    </x:row>
    <x:row r="8" ht="68" customHeight="1">
      <x:c r="A8" s="21" t="str">
        <x:v>P4</x:v>
      </x:c>
      <x:c r="B8" s="21" t="str">
        <x:v>边界案例不得承担实质核心</x:v>
      </x:c>
      <x:c r="C8" s="21" t="str">
        <x:v>含边界案例时，至少两家非边界公司</x:v>
      </x:c>
      <x:c r="D8" s="27" t="n">
        <x:f>COUNTIF('候选组合画像'!$O$5:$O$12,"PASS")+COUNTIF('候选组合画像'!$O$5:$O$12,"NOT_APPLICABLE")</x:f>
        <x:v>8</x:v>
      </x:c>
      <x:c r="E8" s="27" t="n">
        <x:f>8-D8</x:f>
        <x:v>0</x:v>
      </x:c>
      <x:c r="F8" s="27" t="n">
        <x:f>COUNTIF('两两互补明细'!$Y$5:$Y$32,"PASS_WITH_LIMITATION")</x:f>
        <x:v>7</x:v>
      </x:c>
      <x:c r="G8" s="21" t="str">
        <x:v>影石创新只能承担方法/披露边界角色。</x:v>
      </x:c>
      <x:c r="H8" s="57" t="str">
        <x:f>IF(E8=0,"PASS","REVIEW")</x:f>
        <x:v>PASS</x:v>
      </x:c>
    </x:row>
    <x:row r="9">
      <x:c r="A9" s="66"/>
      <x:c r="B9" s="66"/>
      <x:c r="C9" s="66"/>
      <x:c r="D9" s="66"/>
      <x:c r="E9" s="66"/>
      <x:c r="F9" s="66"/>
      <x:c r="G9" s="66"/>
      <x:c r="H9" s="66"/>
    </x:row>
    <x:row r="10" ht="24" customHeight="1">
      <x:c r="A10" s="67" t="str">
        <x:v>说明</x:v>
      </x:c>
      <x:c r="B10" s="67"/>
      <x:c r="C10" s="67"/>
      <x:c r="D10" s="67"/>
      <x:c r="E10" s="67"/>
      <x:c r="F10" s="67"/>
      <x:c r="G10" s="67"/>
      <x:c r="H10" s="67"/>
    </x:row>
    <x:row r="11">
      <x:c r="A11" s="61" t="str">
        <x:v>两两组合的P1—P4结果用于识别结构条件；候选组合画像则按具体研究问题设计。通过约束不等于自动入选，也不得按通过项数量排序。P3在本阶段按一级/二级关系主题执行，因此候选组合均要求PASS_FULL。</x:v>
      </x:c>
      <x:c r="B11" s="61"/>
      <x:c r="C11" s="61"/>
      <x:c r="D11" s="61"/>
      <x:c r="E11" s="61"/>
      <x:c r="F11" s="61"/>
      <x:c r="G11" s="61"/>
      <x:c r="H11" s="61"/>
    </x:row>
    <x:row r="12">
      <x:c r="A12" s="61"/>
      <x:c r="B12" s="61"/>
      <x:c r="C12" s="61"/>
      <x:c r="D12" s="61"/>
      <x:c r="E12" s="61"/>
      <x:c r="F12" s="61"/>
      <x:c r="G12" s="61"/>
      <x:c r="H12" s="61"/>
    </x:row>
    <x:row r="13">
      <x:c r="A13" s="61"/>
      <x:c r="B13" s="61"/>
      <x:c r="C13" s="61"/>
      <x:c r="D13" s="61"/>
      <x:c r="E13" s="61"/>
      <x:c r="F13" s="61"/>
      <x:c r="G13" s="61"/>
      <x:c r="H13" s="61"/>
    </x:row>
  </x:sheetData>
  <x:mergeCells>
    <x:mergeCell ref="A1:H1"/>
    <x:mergeCell ref="A2:H2"/>
    <x:mergeCell ref="A10:H10"/>
    <x:mergeCell ref="A11:H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20" hidden="0" customWidth="1"/>
    <x:col min="14" max="14" width="24" hidden="0" customWidth="1"/>
    <x:col min="15" max="15" width="18" hidden="0" customWidth="1"/>
    <x:col min="16" max="16" width="22" hidden="0" customWidth="1"/>
    <x:col min="17" max="17" width="44" hidden="0" customWidth="1"/>
    <x:col min="18" max="18" width="68" hidden="0" customWidth="1"/>
    <x:col min="19" max="19" width="68" hidden="0" customWidth="1"/>
    <x:col min="20" max="20" width="68" hidden="0" customWidth="1"/>
    <x:col min="21" max="21" width="64" hidden="0" customWidth="1"/>
    <x:col min="22" max="22" width="58" hidden="0" customWidth="1"/>
    <x:col min="23" max="23" width="32" hidden="0" customWidth="1"/>
    <x:col min="24" max="24" width="34" hidden="0" customWidth="1"/>
  </x:cols>
  <x:sheetData>
    <x:row r="1" ht="30" customHeight="1">
      <x:c r="A1" s="64" t="str">
        <x:v>2—3家公司候选组合画像（无排名）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</x:row>
    <x:row r="2" ht="34" customHeight="1">
      <x:c r="A2" s="65" t="str">
        <x:v>8个组合服务于不同研究问题；任何组合都不是最终代表性名单，下一阶段需人工确认研究主问题。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</x:row>
    <x:row r="4" ht="38" customHeight="1">
      <x:c r="A4" s="68" t="str">
        <x:v>组合ID</x:v>
      </x:c>
      <x:c r="B4" s="68" t="str">
        <x:v>组合类型</x:v>
      </x:c>
      <x:c r="C4" s="68" t="str">
        <x:v>成员1_ID</x:v>
      </x:c>
      <x:c r="D4" s="68" t="str">
        <x:v>成员2_ID</x:v>
      </x:c>
      <x:c r="E4" s="68" t="str">
        <x:v>成员3_ID</x:v>
      </x:c>
      <x:c r="F4" s="68" t="str">
        <x:v>成员数</x:v>
      </x:c>
      <x:c r="G4" s="68" t="str">
        <x:v>PEVC数</x:v>
      </x:c>
      <x:c r="H4" s="68" t="str">
        <x:v>非PEVC数</x:v>
      </x:c>
      <x:c r="I4" s="68" t="str">
        <x:v>完整转让数</x:v>
      </x:c>
      <x:c r="J4" s="68" t="str">
        <x:v>方法边界数</x:v>
      </x:c>
      <x:c r="K4" s="68" t="str">
        <x:v>替代路径标志</x:v>
      </x:c>
      <x:c r="L4" s="68" t="str">
        <x:v>P1</x:v>
      </x:c>
      <x:c r="M4" s="68" t="str">
        <x:v>P2</x:v>
      </x:c>
      <x:c r="N4" s="68" t="str">
        <x:v>P3</x:v>
      </x:c>
      <x:c r="O4" s="68" t="str">
        <x:v>P4</x:v>
      </x:c>
      <x:c r="P4" s="68" t="str">
        <x:v>成员</x:v>
      </x:c>
      <x:c r="Q4" s="68" t="str">
        <x:v>适用研究问题</x:v>
      </x:c>
      <x:c r="R4" s="68" t="str">
        <x:v>角色分工</x:v>
      </x:c>
      <x:c r="S4" s="68" t="str">
        <x:v>内部互补画像</x:v>
      </x:c>
      <x:c r="T4" s="68" t="str">
        <x:v>主要优势</x:v>
      </x:c>
      <x:c r="U4" s="68" t="str">
        <x:v>主要限制</x:v>
      </x:c>
      <x:c r="V4" s="68" t="str">
        <x:v>Stage6C状态</x:v>
      </x:c>
      <x:c r="W4" s="68" t="str">
        <x:v>数据层级</x:v>
      </x:c>
      <x:c r="X4" s="68" t="str">
        <x:v>禁止解释</x:v>
      </x:c>
    </x:row>
    <x:row r="5" ht="124" customHeight="1">
      <x:c r="A5" s="28" t="str">
        <x:v>B01</x:v>
      </x:c>
      <x:c r="B5" s="28" t="str">
        <x:v>核心机制对照（二家公司）</x:v>
      </x:c>
      <x:c r="C5" s="28" t="str">
        <x:v>301563</x:v>
      </x:c>
      <x:c r="D5" s="28" t="str">
        <x:v>688758</x:v>
      </x:c>
      <x:c r="E5" s="28"/>
      <x:c r="F5" s="24" t="n">
        <x:f>COUNTA(C5:E5)</x:f>
        <x:v>2</x:v>
      </x:c>
      <x:c r="G5" s="24" t="n">
        <x:f>SUMIF('公司角色标签'!$A$5:$A$12,C5,'公司角色标签'!$L$5:$L$12)+SUMIF('公司角色标签'!$A$5:$A$12,D5,'公司角色标签'!$L$5:$L$12)+SUMIF('公司角色标签'!$A$5:$A$12,E5,'公司角色标签'!$L$5:$L$12)</x:f>
        <x:v>1</x:v>
      </x:c>
      <x:c r="H5" s="24" t="n">
        <x:f>SUMIF('公司角色标签'!$A$5:$A$12,C5,'公司角色标签'!$M$5:$M$12)+SUMIF('公司角色标签'!$A$5:$A$12,D5,'公司角色标签'!$M$5:$M$12)+SUMIF('公司角色标签'!$A$5:$A$12,E5,'公司角色标签'!$M$5:$M$12)</x:f>
        <x:v>1</x:v>
      </x:c>
      <x:c r="I5" s="24" t="n">
        <x:f>SUMIF('公司角色标签'!$A$5:$A$12,C5,'公司角色标签'!$N$5:$N$12)+SUMIF('公司角色标签'!$A$5:$A$12,D5,'公司角色标签'!$N$5:$N$12)+SUMIF('公司角色标签'!$A$5:$A$12,E5,'公司角色标签'!$N$5:$N$12)</x:f>
        <x:v>2</x:v>
      </x:c>
      <x:c r="J5" s="24" t="n">
        <x:f>SUMIF('公司角色标签'!$A$5:$A$12,C5,'公司角色标签'!$O$5:$O$12)+SUMIF('公司角色标签'!$A$5:$A$12,D5,'公司角色标签'!$O$5:$O$12)+SUMIF('公司角色标签'!$A$5:$A$12,E5,'公司角色标签'!$O$5:$O$12)</x:f>
        <x:v>0</x:v>
      </x:c>
      <x:c r="K5" s="24" t="n">
        <x:v>0</x:v>
      </x:c>
      <x:c r="L5" s="24" t="str">
        <x:f>IF(G5&gt;=1,"PASS","FAIL")</x:f>
        <x:v>PASS</x:v>
      </x:c>
      <x:c r="M5" s="24" t="str">
        <x:f>IF(H5&gt;=1,"PASS_NON_PEVC",IF(K5=1,"PASS_ALT_PATH","FAIL"))</x:f>
        <x:v>PASS_NON_PEVC</x:v>
      </x:c>
      <x:c r="N5" s="24" t="str">
        <x:f>IF(I5&gt;=1,"PASS_FULL",IF(J5&gt;=1,"LIMITED_BOUNDARY","NOT_MET"))</x:f>
        <x:v>PASS_FULL</x:v>
      </x:c>
      <x:c r="O5" s="24" t="str">
        <x:f>IF(J5=0,"NOT_APPLICABLE",IF(F5-J5&gt;=2,"PASS","LIMITED"))</x:f>
        <x:v>NOT_APPLICABLE</x:v>
      </x:c>
      <x:c r="P5" s="32" t="str">
        <x:v>云汉芯城 + 赛分科技</x:v>
      </x:c>
      <x:c r="Q5" s="32" t="str">
        <x:v>深度PE/VC路径与无确认PE/VC、可计算二级交易之间的核心对照。</x:v>
      </x:c>
      <x:c r="R5" s="32" t="str">
        <x:v>云汉芯城=机制锚点；赛分科技=清洁对照锚点。</x:v>
      </x:c>
      <x:c r="S5" s="32" t="str">
        <x:v>两家公司在路径、融资结构和转让结构上形成清晰差异。</x:v>
      </x:c>
      <x:c r="T5" s="32" t="str">
        <x:v>两家公司即可同时满足P1—P3，结构紧凑。</x:v>
      </x:c>
      <x:c r="U5" s="32" t="str">
        <x:v>云汉芯城金额覆盖有限；未确认PE/VC不得写成绝对不存在。</x:v>
      </x:c>
      <x:c r="V5" s="32" t="str">
        <x:v>CANDIDATE_CORE_PAIR</x:v>
      </x:c>
      <x:c r="W5" s="20" t="str">
        <x:v>Stage6C研究判断；约束列为公式计算</x:v>
      </x:c>
      <x:c r="X5" s="20" t="str">
        <x:v>候选状态不表示排名或最终入选。</x:v>
      </x:c>
    </x:row>
    <x:row r="6" ht="124" customHeight="1">
      <x:c r="A6" s="28" t="str">
        <x:v>B02</x:v>
      </x:c>
      <x:c r="B6" s="28" t="str">
        <x:v>PE/VC路径比较（二家公司）</x:v>
      </x:c>
      <x:c r="C6" s="28" t="str">
        <x:v>301563</x:v>
      </x:c>
      <x:c r="D6" s="28" t="str">
        <x:v>920100</x:v>
      </x:c>
      <x:c r="E6" s="28"/>
      <x:c r="F6" s="24" t="n">
        <x:f>COUNTA(C6:E6)</x:f>
        <x:v>2</x:v>
      </x:c>
      <x:c r="G6" s="24" t="n">
        <x:f>SUMIF('公司角色标签'!$A$5:$A$12,C6,'公司角色标签'!$L$5:$L$12)+SUMIF('公司角色标签'!$A$5:$A$12,D6,'公司角色标签'!$L$5:$L$12)+SUMIF('公司角色标签'!$A$5:$A$12,E6,'公司角色标签'!$L$5:$L$12)</x:f>
        <x:v>2</x:v>
      </x:c>
      <x:c r="H6" s="24" t="n">
        <x:f>SUMIF('公司角色标签'!$A$5:$A$12,C6,'公司角色标签'!$M$5:$M$12)+SUMIF('公司角色标签'!$A$5:$A$12,D6,'公司角色标签'!$M$5:$M$12)+SUMIF('公司角色标签'!$A$5:$A$12,E6,'公司角色标签'!$M$5:$M$12)</x:f>
        <x:v>0</x:v>
      </x:c>
      <x:c r="I6" s="24" t="n">
        <x:f>SUMIF('公司角色标签'!$A$5:$A$12,C6,'公司角色标签'!$N$5:$N$12)+SUMIF('公司角色标签'!$A$5:$A$12,D6,'公司角色标签'!$N$5:$N$12)+SUMIF('公司角色标签'!$A$5:$A$12,E6,'公司角色标签'!$N$5:$N$12)</x:f>
        <x:v>1</x:v>
      </x:c>
      <x:c r="J6" s="24" t="n">
        <x:f>SUMIF('公司角色标签'!$A$5:$A$12,C6,'公司角色标签'!$O$5:$O$12)+SUMIF('公司角色标签'!$A$5:$A$12,D6,'公司角色标签'!$O$5:$O$12)+SUMIF('公司角色标签'!$A$5:$A$12,E6,'公司角色标签'!$O$5:$O$12)</x:f>
        <x:v>0</x:v>
      </x:c>
      <x:c r="K6" s="24" t="n">
        <x:v>1</x:v>
      </x:c>
      <x:c r="L6" s="24" t="str">
        <x:f>IF(G6&gt;=1,"PASS","FAIL")</x:f>
        <x:v>PASS</x:v>
      </x:c>
      <x:c r="M6" s="24" t="str">
        <x:f>IF(H6&gt;=1,"PASS_NON_PEVC",IF(K6=1,"PASS_ALT_PATH","FAIL"))</x:f>
        <x:v>PASS_ALT_PATH</x:v>
      </x:c>
      <x:c r="N6" s="24" t="str">
        <x:f>IF(I6&gt;=1,"PASS_FULL",IF(J6&gt;=1,"LIMITED_BOUNDARY","NOT_MET"))</x:f>
        <x:v>PASS_FULL</x:v>
      </x:c>
      <x:c r="O6" s="24" t="str">
        <x:f>IF(J6=0,"NOT_APPLICABLE",IF(F6-J6&gt;=2,"PASS","LIMITED"))</x:f>
        <x:v>NOT_APPLICABLE</x:v>
      </x:c>
      <x:c r="P6" s="32" t="str">
        <x:v>云汉芯城 + 三协电机</x:v>
      </x:c>
      <x:c r="Q6" s="32" t="str">
        <x:v>比较深度、多路径进入与较晚、直接进入的路径差异。</x:v>
      </x:c>
      <x:c r="R6" s="32" t="str">
        <x:v>云汉芯城=深度路径；三协电机=晚期直接路径。</x:v>
      </x:c>
      <x:c r="S6" s="32" t="str">
        <x:v>二者均有PE/VC，但进入深度、时点、融资规模和转让结构不同。</x:v>
      </x:c>
      <x:c r="T6" s="32" t="str">
        <x:v>适合讨论PE/VC参与方式差异，不依赖“有/无”二分。</x:v>
      </x:c>
      <x:c r="U6" s="32" t="str">
        <x:v>三协电机证据依赖补充摘要；不能做因果比较。</x:v>
      </x:c>
      <x:c r="V6" s="32" t="str">
        <x:v>CANDIDATE_PATH_PAIR</x:v>
      </x:c>
      <x:c r="W6" s="20" t="str">
        <x:v>Stage6C研究判断；约束列为公式计算</x:v>
      </x:c>
      <x:c r="X6" s="20" t="str">
        <x:v>候选状态不表示排名或最终入选。</x:v>
      </x:c>
    </x:row>
    <x:row r="7" ht="124" customHeight="1">
      <x:c r="A7" s="28" t="str">
        <x:v>B03</x:v>
      </x:c>
      <x:c r="B7" s="28" t="str">
        <x:v>晚期进入与非PE/VC对照（二家公司）</x:v>
      </x:c>
      <x:c r="C7" s="28" t="str">
        <x:v>603418</x:v>
      </x:c>
      <x:c r="D7" s="28" t="str">
        <x:v>688758</x:v>
      </x:c>
      <x:c r="E7" s="28"/>
      <x:c r="F7" s="24" t="n">
        <x:f>COUNTA(C7:E7)</x:f>
        <x:v>2</x:v>
      </x:c>
      <x:c r="G7" s="24" t="n">
        <x:f>SUMIF('公司角色标签'!$A$5:$A$12,C7,'公司角色标签'!$L$5:$L$12)+SUMIF('公司角色标签'!$A$5:$A$12,D7,'公司角色标签'!$L$5:$L$12)+SUMIF('公司角色标签'!$A$5:$A$12,E7,'公司角色标签'!$L$5:$L$12)</x:f>
        <x:v>1</x:v>
      </x:c>
      <x:c r="H7" s="24" t="n">
        <x:f>SUMIF('公司角色标签'!$A$5:$A$12,C7,'公司角色标签'!$M$5:$M$12)+SUMIF('公司角色标签'!$A$5:$A$12,D7,'公司角色标签'!$M$5:$M$12)+SUMIF('公司角色标签'!$A$5:$A$12,E7,'公司角色标签'!$M$5:$M$12)</x:f>
        <x:v>1</x:v>
      </x:c>
      <x:c r="I7" s="24" t="n">
        <x:f>SUMIF('公司角色标签'!$A$5:$A$12,C7,'公司角色标签'!$N$5:$N$12)+SUMIF('公司角色标签'!$A$5:$A$12,D7,'公司角色标签'!$N$5:$N$12)+SUMIF('公司角色标签'!$A$5:$A$12,E7,'公司角色标签'!$N$5:$N$12)</x:f>
        <x:v>1</x:v>
      </x:c>
      <x:c r="J7" s="24" t="n">
        <x:f>SUMIF('公司角色标签'!$A$5:$A$12,C7,'公司角色标签'!$O$5:$O$12)+SUMIF('公司角色标签'!$A$5:$A$12,D7,'公司角色标签'!$O$5:$O$12)+SUMIF('公司角色标签'!$A$5:$A$12,E7,'公司角色标签'!$O$5:$O$12)</x:f>
        <x:v>0</x:v>
      </x:c>
      <x:c r="K7" s="24" t="n">
        <x:v>0</x:v>
      </x:c>
      <x:c r="L7" s="24" t="str">
        <x:f>IF(G7&gt;=1,"PASS","FAIL")</x:f>
        <x:v>PASS</x:v>
      </x:c>
      <x:c r="M7" s="24" t="str">
        <x:f>IF(H7&gt;=1,"PASS_NON_PEVC",IF(K7=1,"PASS_ALT_PATH","FAIL"))</x:f>
        <x:v>PASS_NON_PEVC</x:v>
      </x:c>
      <x:c r="N7" s="24" t="str">
        <x:f>IF(I7&gt;=1,"PASS_FULL",IF(J7&gt;=1,"LIMITED_BOUNDARY","NOT_MET"))</x:f>
        <x:v>PASS_FULL</x:v>
      </x:c>
      <x:c r="O7" s="24" t="str">
        <x:f>IF(J7=0,"NOT_APPLICABLE",IF(F7-J7&gt;=2,"PASS","LIMITED"))</x:f>
        <x:v>NOT_APPLICABLE</x:v>
      </x:c>
      <x:c r="P7" s="32" t="str">
        <x:v>友升股份 + 赛分科技</x:v>
      </x:c>
      <x:c r="Q7" s="32" t="str">
        <x:v>高规模融资下，晚期直接PE/VC进入与无确认PE/VC且存在二级交易的对照。</x:v>
      </x:c>
      <x:c r="R7" s="32" t="str">
        <x:v>友升股份=晚期直接路径；赛分科技=非PE/VC及二级交易对照。</x:v>
      </x:c>
      <x:c r="S7" s="32" t="str">
        <x:v>规模相近但PE/VC路径和转让结构不同，可减少只由规模造成的表面差异。</x:v>
      </x:c>
      <x:c r="T7" s="32" t="str">
        <x:v>同属高规模画像，结构差异更集中。</x:v>
      </x:c>
      <x:c r="U7" s="32" t="str">
        <x:v>友升股份主体桥接警告较多。</x:v>
      </x:c>
      <x:c r="V7" s="32" t="str">
        <x:v>CANDIDATE_CORE_PAIR</x:v>
      </x:c>
      <x:c r="W7" s="20" t="str">
        <x:v>Stage6C研究判断；约束列为公式计算</x:v>
      </x:c>
      <x:c r="X7" s="20" t="str">
        <x:v>候选状态不表示排名或最终入选。</x:v>
      </x:c>
    </x:row>
    <x:row r="8" ht="124" customHeight="1">
      <x:c r="A8" s="28" t="str">
        <x:v>B04</x:v>
      </x:c>
      <x:c r="B8" s="28" t="str">
        <x:v>完整实质谱系（三家公司）</x:v>
      </x:c>
      <x:c r="C8" s="28" t="str">
        <x:v>301563</x:v>
      </x:c>
      <x:c r="D8" s="28" t="str">
        <x:v>301581</x:v>
      </x:c>
      <x:c r="E8" s="28" t="str">
        <x:v>688758</x:v>
      </x:c>
      <x:c r="F8" s="24" t="n">
        <x:f>COUNTA(C8:E8)</x:f>
        <x:v>3</x:v>
      </x:c>
      <x:c r="G8" s="24" t="n">
        <x:f>SUMIF('公司角色标签'!$A$5:$A$12,C8,'公司角色标签'!$L$5:$L$12)+SUMIF('公司角色标签'!$A$5:$A$12,D8,'公司角色标签'!$L$5:$L$12)+SUMIF('公司角色标签'!$A$5:$A$12,E8,'公司角色标签'!$L$5:$L$12)</x:f>
        <x:v>1</x:v>
      </x:c>
      <x:c r="H8" s="24" t="n">
        <x:f>SUMIF('公司角色标签'!$A$5:$A$12,C8,'公司角色标签'!$M$5:$M$12)+SUMIF('公司角色标签'!$A$5:$A$12,D8,'公司角色标签'!$M$5:$M$12)+SUMIF('公司角色标签'!$A$5:$A$12,E8,'公司角色标签'!$M$5:$M$12)</x:f>
        <x:v>2</x:v>
      </x:c>
      <x:c r="I8" s="24" t="n">
        <x:f>SUMIF('公司角色标签'!$A$5:$A$12,C8,'公司角色标签'!$N$5:$N$12)+SUMIF('公司角色标签'!$A$5:$A$12,D8,'公司角色标签'!$N$5:$N$12)+SUMIF('公司角色标签'!$A$5:$A$12,E8,'公司角色标签'!$N$5:$N$12)</x:f>
        <x:v>3</x:v>
      </x:c>
      <x:c r="J8" s="24" t="n">
        <x:f>SUMIF('公司角色标签'!$A$5:$A$12,C8,'公司角色标签'!$O$5:$O$12)+SUMIF('公司角色标签'!$A$5:$A$12,D8,'公司角色标签'!$O$5:$O$12)+SUMIF('公司角色标签'!$A$5:$A$12,E8,'公司角色标签'!$O$5:$O$12)</x:f>
        <x:v>0</x:v>
      </x:c>
      <x:c r="K8" s="24" t="n">
        <x:v>0</x:v>
      </x:c>
      <x:c r="L8" s="24" t="str">
        <x:f>IF(G8&gt;=1,"PASS","FAIL")</x:f>
        <x:v>PASS</x:v>
      </x:c>
      <x:c r="M8" s="24" t="str">
        <x:f>IF(H8&gt;=1,"PASS_NON_PEVC",IF(K8=1,"PASS_ALT_PATH","FAIL"))</x:f>
        <x:v>PASS_NON_PEVC</x:v>
      </x:c>
      <x:c r="N8" s="24" t="str">
        <x:f>IF(I8&gt;=1,"PASS_FULL",IF(J8&gt;=1,"LIMITED_BOUNDARY","NOT_MET"))</x:f>
        <x:v>PASS_FULL</x:v>
      </x:c>
      <x:c r="O8" s="24" t="str">
        <x:f>IF(J8=0,"NOT_APPLICABLE",IF(F8-J8&gt;=2,"PASS","LIMITED"))</x:f>
        <x:v>NOT_APPLICABLE</x:v>
      </x:c>
      <x:c r="P8" s="32" t="str">
        <x:v>云汉芯城 + 黄山谷捷 + 赛分科技</x:v>
      </x:c>
      <x:c r="Q8" s="32" t="str">
        <x:v>覆盖深度PE/VC、无确认PE/VC、零对价转让与正对价二级交易。</x:v>
      </x:c>
      <x:c r="R8" s="32" t="str">
        <x:v>云汉芯城=机制锚点；黄山谷捷=零对价边界；赛分科技=清洁二级交易对照。</x:v>
      </x:c>
      <x:c r="S8" s="32" t="str">
        <x:v>三家公司覆盖多轮/两轮/三轮、深度路径/无确认路径、活跃/零对价/正对价转让。</x:v>
      </x:c>
      <x:c r="T8" s="32" t="str">
        <x:v>实体信息最完整，P1—P3均有多重证据。</x:v>
      </x:c>
      <x:c r="U8" s="32" t="str">
        <x:v>研究问题必须收窄，避免三家公司承担过多主题。</x:v>
      </x:c>
      <x:c r="V8" s="32" t="str">
        <x:v>CANDIDATE_CORE_TRIAD</x:v>
      </x:c>
      <x:c r="W8" s="20" t="str">
        <x:v>Stage6C研究判断；约束列为公式计算</x:v>
      </x:c>
      <x:c r="X8" s="20" t="str">
        <x:v>候选状态不表示排名或最终入选。</x:v>
      </x:c>
    </x:row>
    <x:row r="9" ht="124" customHeight="1">
      <x:c r="A9" s="28" t="str">
        <x:v>B05</x:v>
      </x:c>
      <x:c r="B9" s="28" t="str">
        <x:v>同路径受控比较（三家公司）</x:v>
      </x:c>
      <x:c r="C9" s="28" t="str">
        <x:v>603418</x:v>
      </x:c>
      <x:c r="D9" s="28" t="str">
        <x:v>920100</x:v>
      </x:c>
      <x:c r="E9" s="28" t="str">
        <x:v>688758</x:v>
      </x:c>
      <x:c r="F9" s="24" t="n">
        <x:f>COUNTA(C9:E9)</x:f>
        <x:v>3</x:v>
      </x:c>
      <x:c r="G9" s="24" t="n">
        <x:f>SUMIF('公司角色标签'!$A$5:$A$12,C9,'公司角色标签'!$L$5:$L$12)+SUMIF('公司角色标签'!$A$5:$A$12,D9,'公司角色标签'!$L$5:$L$12)+SUMIF('公司角色标签'!$A$5:$A$12,E9,'公司角色标签'!$L$5:$L$12)</x:f>
        <x:v>2</x:v>
      </x:c>
      <x:c r="H9" s="24" t="n">
        <x:f>SUMIF('公司角色标签'!$A$5:$A$12,C9,'公司角色标签'!$M$5:$M$12)+SUMIF('公司角色标签'!$A$5:$A$12,D9,'公司角色标签'!$M$5:$M$12)+SUMIF('公司角色标签'!$A$5:$A$12,E9,'公司角色标签'!$M$5:$M$12)</x:f>
        <x:v>1</x:v>
      </x:c>
      <x:c r="I9" s="24" t="n">
        <x:f>SUMIF('公司角色标签'!$A$5:$A$12,C9,'公司角色标签'!$N$5:$N$12)+SUMIF('公司角色标签'!$A$5:$A$12,D9,'公司角色标签'!$N$5:$N$12)+SUMIF('公司角色标签'!$A$5:$A$12,E9,'公司角色标签'!$N$5:$N$12)</x:f>
        <x:v>1</x:v>
      </x:c>
      <x:c r="J9" s="24" t="n">
        <x:f>SUMIF('公司角色标签'!$A$5:$A$12,C9,'公司角色标签'!$O$5:$O$12)+SUMIF('公司角色标签'!$A$5:$A$12,D9,'公司角色标签'!$O$5:$O$12)+SUMIF('公司角色标签'!$A$5:$A$12,E9,'公司角色标签'!$O$5:$O$12)</x:f>
        <x:v>0</x:v>
      </x:c>
      <x:c r="K9" s="24" t="n">
        <x:v>0</x:v>
      </x:c>
      <x:c r="L9" s="24" t="str">
        <x:f>IF(G9&gt;=1,"PASS","FAIL")</x:f>
        <x:v>PASS</x:v>
      </x:c>
      <x:c r="M9" s="24" t="str">
        <x:f>IF(H9&gt;=1,"PASS_NON_PEVC",IF(K9=1,"PASS_ALT_PATH","FAIL"))</x:f>
        <x:v>PASS_NON_PEVC</x:v>
      </x:c>
      <x:c r="N9" s="24" t="str">
        <x:f>IF(I9&gt;=1,"PASS_FULL",IF(J9&gt;=1,"LIMITED_BOUNDARY","NOT_MET"))</x:f>
        <x:v>PASS_FULL</x:v>
      </x:c>
      <x:c r="O9" s="24" t="str">
        <x:f>IF(J9=0,"NOT_APPLICABLE",IF(F9-J9&gt;=2,"PASS","LIMITED"))</x:f>
        <x:v>NOT_APPLICABLE</x:v>
      </x:c>
      <x:c r="P9" s="32" t="str">
        <x:v>友升股份 + 三协电机 + 赛分科技</x:v>
      </x:c>
      <x:c r="Q9" s="32" t="str">
        <x:v>在两家晚期直接PE/VC案例中保留规模差异，再加入无确认PE/VC与二级交易对照。</x:v>
      </x:c>
      <x:c r="R9" s="32" t="str">
        <x:v>友升股份=高规模晚期路径；三协电机=低规模晚期路径；赛分科技=外部结构对照。</x:v>
      </x:c>
      <x:c r="S9" s="32" t="str">
        <x:v>友升与三协存在有意重合，用于同路径内比较；赛分提供清晰路径和交易补充。</x:v>
      </x:c>
      <x:c r="T9" s="32" t="str">
        <x:v>把“重复”转化为受控比较条件，而不是简单追求最大差异。</x:v>
      </x:c>
      <x:c r="U9" s="32" t="str">
        <x:v>n=3仍不能视为匹配样本或因果识别。</x:v>
      </x:c>
      <x:c r="V9" s="32" t="str">
        <x:v>CANDIDATE_CONTROLLED_TRIAD</x:v>
      </x:c>
      <x:c r="W9" s="20" t="str">
        <x:v>Stage6C研究判断；约束列为公式计算</x:v>
      </x:c>
      <x:c r="X9" s="20" t="str">
        <x:v>候选状态不表示排名或最终入选。</x:v>
      </x:c>
    </x:row>
    <x:row r="10" ht="124" customHeight="1">
      <x:c r="A10" s="28" t="str">
        <x:v>B06</x:v>
      </x:c>
      <x:c r="B10" s="28" t="str">
        <x:v>方法边界组合（三家公司）</x:v>
      </x:c>
      <x:c r="C10" s="28" t="str">
        <x:v>301563</x:v>
      </x:c>
      <x:c r="D10" s="28" t="str">
        <x:v>688758</x:v>
      </x:c>
      <x:c r="E10" s="28" t="str">
        <x:v>688775</x:v>
      </x:c>
      <x:c r="F10" s="24" t="n">
        <x:f>COUNTA(C10:E10)</x:f>
        <x:v>3</x:v>
      </x:c>
      <x:c r="G10" s="24" t="n">
        <x:f>SUMIF('公司角色标签'!$A$5:$A$12,C10,'公司角色标签'!$L$5:$L$12)+SUMIF('公司角色标签'!$A$5:$A$12,D10,'公司角色标签'!$L$5:$L$12)+SUMIF('公司角色标签'!$A$5:$A$12,E10,'公司角色标签'!$L$5:$L$12)</x:f>
        <x:v>1</x:v>
      </x:c>
      <x:c r="H10" s="24" t="n">
        <x:f>SUMIF('公司角色标签'!$A$5:$A$12,C10,'公司角色标签'!$M$5:$M$12)+SUMIF('公司角色标签'!$A$5:$A$12,D10,'公司角色标签'!$M$5:$M$12)+SUMIF('公司角色标签'!$A$5:$A$12,E10,'公司角色标签'!$M$5:$M$12)</x:f>
        <x:v>1</x:v>
      </x:c>
      <x:c r="I10" s="24" t="n">
        <x:f>SUMIF('公司角色标签'!$A$5:$A$12,C10,'公司角色标签'!$N$5:$N$12)+SUMIF('公司角色标签'!$A$5:$A$12,D10,'公司角色标签'!$N$5:$N$12)+SUMIF('公司角色标签'!$A$5:$A$12,E10,'公司角色标签'!$N$5:$N$12)</x:f>
        <x:v>2</x:v>
      </x:c>
      <x:c r="J10" s="24" t="n">
        <x:f>SUMIF('公司角色标签'!$A$5:$A$12,C10,'公司角色标签'!$O$5:$O$12)+SUMIF('公司角色标签'!$A$5:$A$12,D10,'公司角色标签'!$O$5:$O$12)+SUMIF('公司角色标签'!$A$5:$A$12,E10,'公司角色标签'!$O$5:$O$12)</x:f>
        <x:v>1</x:v>
      </x:c>
      <x:c r="K10" s="24" t="n">
        <x:v>0</x:v>
      </x:c>
      <x:c r="L10" s="24" t="str">
        <x:f>IF(G10&gt;=1,"PASS","FAIL")</x:f>
        <x:v>PASS</x:v>
      </x:c>
      <x:c r="M10" s="24" t="str">
        <x:f>IF(H10&gt;=1,"PASS_NON_PEVC",IF(K10=1,"PASS_ALT_PATH","FAIL"))</x:f>
        <x:v>PASS_NON_PEVC</x:v>
      </x:c>
      <x:c r="N10" s="24" t="str">
        <x:f>IF(I10&gt;=1,"PASS_FULL",IF(J10&gt;=1,"LIMITED_BOUNDARY","NOT_MET"))</x:f>
        <x:v>PASS_FULL</x:v>
      </x:c>
      <x:c r="O10" s="24" t="str">
        <x:f>IF(J10=0,"NOT_APPLICABLE",IF(F10-J10&gt;=2,"PASS","LIMITED"))</x:f>
        <x:v>PASS</x:v>
      </x:c>
      <x:c r="P10" s="32" t="str">
        <x:v>云汉芯城 + 赛分科技 + 影石创新</x:v>
      </x:c>
      <x:c r="Q10" s="32" t="str">
        <x:v>在一组完整核心对照之外，展示融资历史不可重构时变量为何不能计算。</x:v>
      </x:c>
      <x:c r="R10" s="32" t="str">
        <x:v>云汉芯城与赛分科技=实质核心；影石创新=方法/披露边界。</x:v>
      </x:c>
      <x:c r="S10" s="32" t="str">
        <x:v>核心对照与边界案例分工明确，影石创新不参与实质高低判断。</x:v>
      </x:c>
      <x:c r="T10" s="32" t="str">
        <x:v>可直接展示null、NOT_COMPUTABLE和0的区别。</x:v>
      </x:c>
      <x:c r="U10" s="32" t="str">
        <x:v>影石创新只能作为第三个边界案例，不能替代核心案例。</x:v>
      </x:c>
      <x:c r="V10" s="32" t="str">
        <x:v>CONDITIONAL_METHOD_CANDIDATE</x:v>
      </x:c>
      <x:c r="W10" s="20" t="str">
        <x:v>Stage6C研究判断；约束列为公式计算</x:v>
      </x:c>
      <x:c r="X10" s="20" t="str">
        <x:v>候选状态不表示排名或最终入选。</x:v>
      </x:c>
    </x:row>
    <x:row r="11" ht="124" customHeight="1">
      <x:c r="A11" s="28" t="str">
        <x:v>B07</x:v>
      </x:c>
      <x:c r="B11" s="28" t="str">
        <x:v>复杂—简单结构组合（三家公司）</x:v>
      </x:c>
      <x:c r="C11" s="28" t="str">
        <x:v>301563</x:v>
      </x:c>
      <x:c r="D11" s="28" t="str">
        <x:v>688758</x:v>
      </x:c>
      <x:c r="E11" s="28" t="str">
        <x:v>920116</x:v>
      </x:c>
      <x:c r="F11" s="24" t="n">
        <x:f>COUNTA(C11:E11)</x:f>
        <x:v>3</x:v>
      </x:c>
      <x:c r="G11" s="24" t="n">
        <x:f>SUMIF('公司角色标签'!$A$5:$A$12,C11,'公司角色标签'!$L$5:$L$12)+SUMIF('公司角色标签'!$A$5:$A$12,D11,'公司角色标签'!$L$5:$L$12)+SUMIF('公司角色标签'!$A$5:$A$12,E11,'公司角色标签'!$L$5:$L$12)</x:f>
        <x:v>1</x:v>
      </x:c>
      <x:c r="H11" s="24" t="n">
        <x:f>SUMIF('公司角色标签'!$A$5:$A$12,C11,'公司角色标签'!$M$5:$M$12)+SUMIF('公司角色标签'!$A$5:$A$12,D11,'公司角色标签'!$M$5:$M$12)+SUMIF('公司角色标签'!$A$5:$A$12,E11,'公司角色标签'!$M$5:$M$12)</x:f>
        <x:v>2</x:v>
      </x:c>
      <x:c r="I11" s="24" t="n">
        <x:f>SUMIF('公司角色标签'!$A$5:$A$12,C11,'公司角色标签'!$N$5:$N$12)+SUMIF('公司角色标签'!$A$5:$A$12,D11,'公司角色标签'!$N$5:$N$12)+SUMIF('公司角色标签'!$A$5:$A$12,E11,'公司角色标签'!$N$5:$N$12)</x:f>
        <x:v>2</x:v>
      </x:c>
      <x:c r="J11" s="24" t="n">
        <x:f>SUMIF('公司角色标签'!$A$5:$A$12,C11,'公司角色标签'!$O$5:$O$12)+SUMIF('公司角色标签'!$A$5:$A$12,D11,'公司角色标签'!$O$5:$O$12)+SUMIF('公司角色标签'!$A$5:$A$12,E11,'公司角色标签'!$O$5:$O$12)</x:f>
        <x:v>0</x:v>
      </x:c>
      <x:c r="K11" s="24" t="n">
        <x:v>0</x:v>
      </x:c>
      <x:c r="L11" s="24" t="str">
        <x:f>IF(G11&gt;=1,"PASS","FAIL")</x:f>
        <x:v>PASS</x:v>
      </x:c>
      <x:c r="M11" s="24" t="str">
        <x:f>IF(H11&gt;=1,"PASS_NON_PEVC",IF(K11=1,"PASS_ALT_PATH","FAIL"))</x:f>
        <x:v>PASS_NON_PEVC</x:v>
      </x:c>
      <x:c r="N11" s="24" t="str">
        <x:f>IF(I11&gt;=1,"PASS_FULL",IF(J11&gt;=1,"LIMITED_BOUNDARY","NOT_MET"))</x:f>
        <x:v>PASS_FULL</x:v>
      </x:c>
      <x:c r="O11" s="24" t="str">
        <x:f>IF(J11=0,"NOT_APPLICABLE",IF(F11-J11&gt;=2,"PASS","LIMITED"))</x:f>
        <x:v>NOT_APPLICABLE</x:v>
      </x:c>
      <x:c r="P11" s="32" t="str">
        <x:v>云汉芯城 + 赛分科技 + 星图测控</x:v>
      </x:c>
      <x:c r="Q11" s="32" t="str">
        <x:v>比较复杂多路径、清洁二级交易与单轮高投资方密度的简单结构。</x:v>
      </x:c>
      <x:c r="R11" s="32" t="str">
        <x:v>云汉芯城=复杂机制；赛分科技=清洁对照；星图测控=简单结构基线。</x:v>
      </x:c>
      <x:c r="S11" s="32" t="str">
        <x:v>同时覆盖复杂融资、二级交易与单轮结构，互补方向直观。</x:v>
      </x:c>
      <x:c r="T11" s="32" t="str">
        <x:v>适合教学展示和描述性案例写作。</x:v>
      </x:c>
      <x:c r="U11" s="32" t="str">
        <x:v>星图测控单轮密度具有机械性且有名称桥接警告。</x:v>
      </x:c>
      <x:c r="V11" s="32" t="str">
        <x:v>CANDIDATE_DESCRIPTIVE_TRIAD</x:v>
      </x:c>
      <x:c r="W11" s="20" t="str">
        <x:v>Stage6C研究判断；约束列为公式计算</x:v>
      </x:c>
      <x:c r="X11" s="20" t="str">
        <x:v>候选状态不表示排名或最终入选。</x:v>
      </x:c>
    </x:row>
    <x:row r="12" ht="124" customHeight="1">
      <x:c r="A12" s="29" t="str">
        <x:v>B08</x:v>
      </x:c>
      <x:c r="B12" s="29" t="str">
        <x:v>低规模简单基线组合（三家公司）</x:v>
      </x:c>
      <x:c r="C12" s="29" t="str">
        <x:v>301563</x:v>
      </x:c>
      <x:c r="D12" s="29" t="str">
        <x:v>301581</x:v>
      </x:c>
      <x:c r="E12" s="29" t="str">
        <x:v>001282</x:v>
      </x:c>
      <x:c r="F12" s="25" t="n">
        <x:f>COUNTA(C12:E12)</x:f>
        <x:v>3</x:v>
      </x:c>
      <x:c r="G12" s="25" t="n">
        <x:f>SUMIF('公司角色标签'!$A$5:$A$12,C12,'公司角色标签'!$L$5:$L$12)+SUMIF('公司角色标签'!$A$5:$A$12,D12,'公司角色标签'!$L$5:$L$12)+SUMIF('公司角色标签'!$A$5:$A$12,E12,'公司角色标签'!$L$5:$L$12)</x:f>
        <x:v>1</x:v>
      </x:c>
      <x:c r="H12" s="25" t="n">
        <x:f>SUMIF('公司角色标签'!$A$5:$A$12,C12,'公司角色标签'!$M$5:$M$12)+SUMIF('公司角色标签'!$A$5:$A$12,D12,'公司角色标签'!$M$5:$M$12)+SUMIF('公司角色标签'!$A$5:$A$12,E12,'公司角色标签'!$M$5:$M$12)</x:f>
        <x:v>2</x:v>
      </x:c>
      <x:c r="I12" s="25" t="n">
        <x:f>SUMIF('公司角色标签'!$A$5:$A$12,C12,'公司角色标签'!$N$5:$N$12)+SUMIF('公司角色标签'!$A$5:$A$12,D12,'公司角色标签'!$N$5:$N$12)+SUMIF('公司角色标签'!$A$5:$A$12,E12,'公司角色标签'!$N$5:$N$12)</x:f>
        <x:v>2</x:v>
      </x:c>
      <x:c r="J12" s="25" t="n">
        <x:f>SUMIF('公司角色标签'!$A$5:$A$12,C12,'公司角色标签'!$O$5:$O$12)+SUMIF('公司角色标签'!$A$5:$A$12,D12,'公司角色标签'!$O$5:$O$12)+SUMIF('公司角色标签'!$A$5:$A$12,E12,'公司角色标签'!$O$5:$O$12)</x:f>
        <x:v>0</x:v>
      </x:c>
      <x:c r="K12" s="25" t="n">
        <x:v>0</x:v>
      </x:c>
      <x:c r="L12" s="25" t="str">
        <x:f>IF(G12&gt;=1,"PASS","FAIL")</x:f>
        <x:v>PASS</x:v>
      </x:c>
      <x:c r="M12" s="25" t="str">
        <x:f>IF(H12&gt;=1,"PASS_NON_PEVC",IF(K12=1,"PASS_ALT_PATH","FAIL"))</x:f>
        <x:v>PASS_NON_PEVC</x:v>
      </x:c>
      <x:c r="N12" s="25" t="str">
        <x:f>IF(I12&gt;=1,"PASS_FULL",IF(J12&gt;=1,"LIMITED_BOUNDARY","NOT_MET"))</x:f>
        <x:v>PASS_FULL</x:v>
      </x:c>
      <x:c r="O12" s="25" t="str">
        <x:f>IF(J12=0,"NOT_APPLICABLE",IF(F12-J12&gt;=2,"PASS","LIMITED"))</x:f>
        <x:v>NOT_APPLICABLE</x:v>
      </x:c>
      <x:c r="P12" s="33" t="str">
        <x:v>云汉芯城 + 黄山谷捷 + 三联锻造</x:v>
      </x:c>
      <x:c r="Q12" s="33" t="str">
        <x:v>以复杂PE/VC路径为锚点，对照中等两轮零对价交易与低规模单轮简单结构。</x:v>
      </x:c>
      <x:c r="R12" s="33" t="str">
        <x:v>云汉芯城=机制锚点；黄山谷捷=交易边界；三联锻造=低规模简单基线。</x:v>
      </x:c>
      <x:c r="S12" s="33" t="str">
        <x:v>三家公司在轮数、路径、主体和转让结构上形成逐层差异。</x:v>
      </x:c>
      <x:c r="T12" s="33" t="str">
        <x:v>能够解释代表性并非只取融资金额最高公司。</x:v>
      </x:c>
      <x:c r="U12" s="33" t="str">
        <x:v>三联锻造信息维度有限，且金额为计算型。</x:v>
      </x:c>
      <x:c r="V12" s="33" t="str">
        <x:v>CANDIDATE_DESCRIPTIVE_TRIAD</x:v>
      </x:c>
      <x:c r="W12" s="21" t="str">
        <x:v>Stage6C研究判断；约束列为公式计算</x:v>
      </x:c>
      <x:c r="X12" s="21" t="str">
        <x:v>候选状态不表示排名或最终入选。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70" hidden="0" customWidth="1"/>
    <x:col min="4" max="4" width="70" hidden="0" customWidth="1"/>
    <x:col min="5" max="5" width="58" hidden="0" customWidth="1"/>
    <x:col min="6" max="6" width="30" hidden="0" customWidth="1"/>
  </x:cols>
  <x:sheetData>
    <x:row r="1" ht="30" customHeight="1">
      <x:c r="A1" s="64" t="str">
        <x:v>解释边界与禁止推断</x:v>
      </x:c>
      <x:c r="B1" s="64"/>
      <x:c r="C1" s="64"/>
      <x:c r="D1" s="64"/>
      <x:c r="E1" s="64"/>
      <x:c r="F1" s="64"/>
    </x:row>
    <x:row r="2" ht="34" customHeight="1">
      <x:c r="A2" s="65" t="str">
        <x:v>本表适用于S6矩阵、候选组合和下一阶段人工选择。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 ht="38" customHeight="1">
      <x:c r="A4" s="68" t="str">
        <x:v>规则ID</x:v>
      </x:c>
      <x:c r="B4" s="68" t="str">
        <x:v>禁止推断</x:v>
      </x:c>
      <x:c r="C4" s="68" t="str">
        <x:v>原因</x:v>
      </x:c>
      <x:c r="D4" s="68" t="str">
        <x:v>正确处理</x:v>
      </x:c>
      <x:c r="E4" s="68" t="str">
        <x:v>适用范围</x:v>
      </x:c>
      <x:c r="F4" s="68" t="str">
        <x:v>状态</x:v>
      </x:c>
    </x:row>
    <x:row r="5" ht="72" customHeight="1">
      <x:c r="A5" s="20" t="str">
        <x:v>B01</x:v>
      </x:c>
      <x:c r="B5" s="20" t="str">
        <x:v>把S6按公司求和形成排名</x:v>
      </x:c>
      <x:c r="C5" s="20" t="str">
        <x:v>S6是配对/组合属性，同一家公司面对不同对象会得到不同结果。</x:v>
      </x:c>
      <x:c r="D5" s="20" t="str">
        <x:v>逐组合读取S6理由。</x:v>
      </x:c>
      <x:c r="E5" s="20" t="str">
        <x:v>全部公司与组合</x:v>
      </x:c>
      <x:c r="F5" s="20" t="str">
        <x:v>ENFORCED</x:v>
      </x:c>
    </x:row>
    <x:row r="6" ht="72" customHeight="1">
      <x:c r="A6" s="20" t="str">
        <x:v>B02</x:v>
      </x:c>
      <x:c r="B6" s="20" t="str">
        <x:v>把2分写成公司更优或投资价值更高</x:v>
      </x:c>
      <x:c r="C6" s="20" t="str">
        <x:v>2分只表示研究信息互补。</x:v>
      </x:c>
      <x:c r="D6" s="20" t="str">
        <x:v>使用“清晰对照”或“边界补充”。</x:v>
      </x:c>
      <x:c r="E6" s="20" t="str">
        <x:v>S6=2组合</x:v>
      </x:c>
      <x:c r="F6" s="20" t="str">
        <x:v>ENFORCED</x:v>
      </x:c>
    </x:row>
    <x:row r="7" ht="72" customHeight="1">
      <x:c r="A7" s="20" t="str">
        <x:v>B03</x:v>
      </x:c>
      <x:c r="B7" s="20" t="str">
        <x:v>把1分组合自动排除</x:v>
      </x:c>
      <x:c r="C7" s="20" t="str">
        <x:v>单维度补充可能更适合收窄的研究问题。</x:v>
      </x:c>
      <x:c r="D7" s="20" t="str">
        <x:v>说明唯一差异及使用条件。</x:v>
      </x:c>
      <x:c r="E7" s="20" t="str">
        <x:v>S6=1组合</x:v>
      </x:c>
      <x:c r="F7" s="20" t="str">
        <x:v>ENFORCED</x:v>
      </x:c>
    </x:row>
    <x:row r="8" ht="72" customHeight="1">
      <x:c r="A8" s="20" t="str">
        <x:v>B04</x:v>
      </x:c>
      <x:c r="B8" s="20" t="str">
        <x:v>把融资金额差异当作充分互补证据</x:v>
      </x:c>
      <x:c r="C8" s="20" t="str">
        <x:v>金额下限受披露覆盖影响，且不能代表企业价值。</x:v>
      </x:c>
      <x:c r="D8" s="20" t="str">
        <x:v>至少结合路径、主体或交易维度。</x:v>
      </x:c>
      <x:c r="E8" s="20" t="str">
        <x:v>D1与候选组合</x:v>
      </x:c>
      <x:c r="F8" s="20" t="str">
        <x:v>ENFORCED</x:v>
      </x:c>
    </x:row>
    <x:row r="9" ht="72" customHeight="1">
      <x:c r="A9" s="20" t="str">
        <x:v>B05</x:v>
      </x:c>
      <x:c r="B9" s="20" t="str">
        <x:v>把影石创新的不可计算值写成0</x:v>
      </x:c>
      <x:c r="C9" s="20" t="str">
        <x:v>其融资历史无法重构，属于方法边界。</x:v>
      </x:c>
      <x:c r="D9" s="20" t="str">
        <x:v>保留NOT_SCORED/NOT_COMPUTABLE并限定角色。</x:v>
      </x:c>
      <x:c r="E9" s="20" t="str">
        <x:v>含影石创新组合</x:v>
      </x:c>
      <x:c r="F9" s="20" t="str">
        <x:v>ENFORCED</x:v>
      </x:c>
    </x:row>
    <x:row r="10" ht="72" customHeight="1">
      <x:c r="A10" s="20" t="str">
        <x:v>B06</x:v>
      </x:c>
      <x:c r="B10" s="20" t="str">
        <x:v>把未确认PE/VC写成不存在机构投资者</x:v>
      </x:c>
      <x:c r="C10" s="20" t="str">
        <x:v>法律主体识别受冻结披露范围限制。</x:v>
      </x:c>
      <x:c r="D10" s="20" t="str">
        <x:v>使用“冻结口径内未确认PE/VC”。</x:v>
      </x:c>
      <x:c r="E10" s="20" t="str">
        <x:v>P2与非PEVC标签</x:v>
      </x:c>
      <x:c r="F10" s="20" t="str">
        <x:v>ENFORCED</x:v>
      </x:c>
    </x:row>
    <x:row r="11" ht="72" customHeight="1">
      <x:c r="A11" s="20" t="str">
        <x:v>B07</x:v>
      </x:c>
      <x:c r="B11" s="20" t="str">
        <x:v>把候选组合当作最终代表性名单</x:v>
      </x:c>
      <x:c r="C11" s="20" t="str">
        <x:v>研究主问题尚未人工确认。</x:v>
      </x:c>
      <x:c r="D11" s="20" t="str">
        <x:v>下一阶段根据研究目的选择并记录排除理由。</x:v>
      </x:c>
      <x:c r="E11" s="20" t="str">
        <x:v>候选组合画像</x:v>
      </x:c>
      <x:c r="F11" s="20" t="str">
        <x:v>ENFORCED</x:v>
      </x:c>
    </x:row>
    <x:row r="12" ht="72" customHeight="1">
      <x:c r="A12" s="21" t="str">
        <x:v>B08</x:v>
      </x:c>
      <x:c r="B12" s="21" t="str">
        <x:v>因n=8解释统计显著性或因果关系</x:v>
      </x:c>
      <x:c r="C12" s="21" t="str">
        <x:v>当前分析是描述性和案例开发。</x:v>
      </x:c>
      <x:c r="D12" s="21" t="str">
        <x:v>只陈述样本内模式、可计算性和案例用途。</x:v>
      </x:c>
      <x:c r="E12" s="21" t="str">
        <x:v>全部输出</x:v>
      </x:c>
      <x:c r="F12" s="21" t="str">
        <x:v>ENFORCED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22" hidden="0" customWidth="1"/>
    <x:col min="8" max="8" width="58" hidden="0" customWidth="1"/>
  </x:cols>
  <x:sheetData>
    <x:row r="1" ht="30" customHeight="1">
      <x:c r="A1" s="64" t="str">
        <x:v>Stage 6C验收检查</x:v>
      </x:c>
      <x:c r="B1" s="64"/>
      <x:c r="C1" s="64"/>
      <x:c r="D1" s="64"/>
      <x:c r="E1" s="64"/>
      <x:c r="F1" s="64"/>
      <x:c r="G1" s="64"/>
      <x:c r="H1" s="64"/>
    </x:row>
    <x:row r="2" ht="34" customHeight="1">
      <x:c r="A2" s="65" t="str">
        <x:v>每项独立核验输入、配对、约束、候选边界和公式状态。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 ht="38" customHeight="1">
      <x:c r="A4" s="68" t="str">
        <x:v>检查ID</x:v>
      </x:c>
      <x:c r="B4" s="68" t="str">
        <x:v>检查项</x:v>
      </x:c>
      <x:c r="C4" s="68" t="str">
        <x:v>期望值</x:v>
      </x:c>
      <x:c r="D4" s="68" t="str">
        <x:v>实际值</x:v>
      </x:c>
      <x:c r="E4" s="68" t="str">
        <x:v>类型</x:v>
      </x:c>
      <x:c r="F4" s="68" t="str">
        <x:v>容差</x:v>
      </x:c>
      <x:c r="G4" s="68" t="str">
        <x:v>状态</x:v>
      </x:c>
      <x:c r="H4" s="68" t="str">
        <x:v>说明</x:v>
      </x:c>
    </x:row>
    <x:row r="5" ht="34" customHeight="1">
      <x:c r="A5" s="20" t="str">
        <x:v>S6C-001</x:v>
      </x:c>
      <x:c r="B5" s="20" t="str">
        <x:v>Stage6B输入公司数</x:v>
      </x:c>
      <x:c r="C5" s="20" t="n">
        <x:v>8</x:v>
      </x:c>
      <x:c r="D5" s="20" t="n">
        <x:f>COUNTA('公司角色标签'!$A$5:$A$12)</x:f>
        <x:v>8</x:v>
      </x:c>
      <x:c r="E5" s="20" t="str">
        <x:v>数值</x:v>
      </x:c>
      <x:c r="F5" s="20" t="n">
        <x:v>0</x:v>
      </x:c>
      <x:c r="G5" s="56" t="str">
        <x:f>IF(ABS(C5-D5)&lt;=F5,"PASS","FAIL")</x:f>
        <x:v>PASS</x:v>
      </x:c>
      <x:c r="H5" s="20" t="str">
        <x:v>8家公司</x:v>
      </x:c>
    </x:row>
    <x:row r="6" ht="34" customHeight="1">
      <x:c r="A6" s="20" t="str">
        <x:v>S6C-002</x:v>
      </x:c>
      <x:c r="B6" s="20" t="str">
        <x:v>八个公司ID各出现一次</x:v>
      </x:c>
      <x:c r="C6" s="20" t="n">
        <x:v>1</x:v>
      </x:c>
      <x:c r="D6" s="20" t="n">
        <x:f>COUNTIF('公司角色标签'!$A$5:$A$12,"001282")*COUNTIF('公司角色标签'!$A$5:$A$12,"301563")*COUNTIF('公司角色标签'!$A$5:$A$12,"301581")*COUNTIF('公司角色标签'!$A$5:$A$12,"603418")*COUNTIF('公司角色标签'!$A$5:$A$12,"688758")*COUNTIF('公司角色标签'!$A$5:$A$12,"688775")*COUNTIF('公司角色标签'!$A$5:$A$12,"920100")*COUNTIF('公司角色标签'!$A$5:$A$12,"920116")</x:f>
        <x:v>1</x:v>
      </x:c>
      <x:c r="E6" s="20" t="str">
        <x:v>数值</x:v>
      </x:c>
      <x:c r="F6" s="20" t="n">
        <x:v>0</x:v>
      </x:c>
      <x:c r="G6" s="56" t="str">
        <x:f>IF(ABS(C6-D6)&lt;=F6,"PASS","FAIL")</x:f>
        <x:v>PASS</x:v>
      </x:c>
      <x:c r="H6" s="20" t="str">
        <x:v>每个冻结ID恰好一次</x:v>
      </x:c>
    </x:row>
    <x:row r="7" ht="34" customHeight="1">
      <x:c r="A7" s="20" t="str">
        <x:v>S6C-003</x:v>
      </x:c>
      <x:c r="B7" s="20" t="str">
        <x:v>无序两两组合数</x:v>
      </x:c>
      <x:c r="C7" s="20" t="n">
        <x:v>28</x:v>
      </x:c>
      <x:c r="D7" s="20" t="n">
        <x:f>COUNTA('两两互补明细'!$A$5:$A$32)</x:f>
        <x:v>28</x:v>
      </x:c>
      <x:c r="E7" s="20" t="str">
        <x:v>数值</x:v>
      </x:c>
      <x:c r="F7" s="20" t="n">
        <x:v>0</x:v>
      </x:c>
      <x:c r="G7" s="56" t="str">
        <x:f>IF(ABS(C7-D7)&lt;=F7,"PASS","FAIL")</x:f>
        <x:v>PASS</x:v>
      </x:c>
      <x:c r="H7" s="20" t="str">
        <x:v>8×7÷2</x:v>
      </x:c>
    </x:row>
    <x:row r="8" ht="34" customHeight="1">
      <x:c r="A8" s="20" t="str">
        <x:v>S6C-004</x:v>
      </x:c>
      <x:c r="B8" s="20" t="str">
        <x:v>S6已判断组合数</x:v>
      </x:c>
      <x:c r="C8" s="20" t="n">
        <x:v>28</x:v>
      </x:c>
      <x:c r="D8" s="20" t="n">
        <x:f>COUNT('两两互补明细'!$K$5:$K$32)</x:f>
        <x:v>28</x:v>
      </x:c>
      <x:c r="E8" s="20" t="str">
        <x:v>数值</x:v>
      </x:c>
      <x:c r="F8" s="20" t="n">
        <x:v>0</x:v>
      </x:c>
      <x:c r="G8" s="56" t="str">
        <x:f>IF(ABS(C8-D8)&lt;=F8,"PASS","FAIL")</x:f>
        <x:v>PASS</x:v>
      </x:c>
      <x:c r="H8" s="20" t="str">
        <x:v>不得空缺</x:v>
      </x:c>
    </x:row>
    <x:row r="9" ht="34" customHeight="1">
      <x:c r="A9" s="20" t="str">
        <x:v>S6C-005</x:v>
      </x:c>
      <x:c r="B9" s="20" t="str">
        <x:v>S6最小值</x:v>
      </x:c>
      <x:c r="C9" s="20" t="n">
        <x:v>1</x:v>
      </x:c>
      <x:c r="D9" s="20" t="n">
        <x:f>MIN('两两互补明细'!$K$5:$K$32)</x:f>
        <x:v>1</x:v>
      </x:c>
      <x:c r="E9" s="20" t="str">
        <x:v>数值</x:v>
      </x:c>
      <x:c r="F9" s="20" t="n">
        <x:v>0</x:v>
      </x:c>
      <x:c r="G9" s="56" t="str">
        <x:f>IF(ABS(C9-D9)&lt;=F9,"PASS","FAIL")</x:f>
        <x:v>PASS</x:v>
      </x:c>
      <x:c r="H9" s="20" t="str">
        <x:v>本样本无0分组合</x:v>
      </x:c>
    </x:row>
    <x:row r="10" ht="34" customHeight="1">
      <x:c r="A10" s="20" t="str">
        <x:v>S6C-006</x:v>
      </x:c>
      <x:c r="B10" s="20" t="str">
        <x:v>S6最大值</x:v>
      </x:c>
      <x:c r="C10" s="20" t="n">
        <x:v>2</x:v>
      </x:c>
      <x:c r="D10" s="20" t="n">
        <x:f>MAX('两两互补明细'!$K$5:$K$32)</x:f>
        <x:v>2</x:v>
      </x:c>
      <x:c r="E10" s="20" t="str">
        <x:v>数值</x:v>
      </x:c>
      <x:c r="F10" s="20" t="n">
        <x:v>0</x:v>
      </x:c>
      <x:c r="G10" s="56" t="str">
        <x:f>IF(ABS(C10-D10)&lt;=F10,"PASS","FAIL")</x:f>
        <x:v>PASS</x:v>
      </x:c>
      <x:c r="H10" s="20" t="str">
        <x:v>不得超过2</x:v>
      </x:c>
    </x:row>
    <x:row r="11" ht="34" customHeight="1">
      <x:c r="A11" s="20" t="str">
        <x:v>S6C-007</x:v>
      </x:c>
      <x:c r="B11" s="20" t="str">
        <x:v>S6=2组合数</x:v>
      </x:c>
      <x:c r="C11" s="20" t="n">
        <x:v>24</x:v>
      </x:c>
      <x:c r="D11" s="20" t="n">
        <x:f>COUNTIF('两两互补明细'!$K$5:$K$32,2)</x:f>
        <x:v>24</x:v>
      </x:c>
      <x:c r="E11" s="20" t="str">
        <x:v>数值</x:v>
      </x:c>
      <x:c r="F11" s="20" t="n">
        <x:v>0</x:v>
      </x:c>
      <x:c r="G11" s="56" t="str">
        <x:f>IF(ABS(C11-D11)&lt;=F11,"PASS","FAIL")</x:f>
        <x:v>PASS</x:v>
      </x:c>
      <x:c r="H11" s="20" t="str">
        <x:v>清晰或边界互补</x:v>
      </x:c>
    </x:row>
    <x:row r="12" ht="34" customHeight="1">
      <x:c r="A12" s="20" t="str">
        <x:v>S6C-008</x:v>
      </x:c>
      <x:c r="B12" s="20" t="str">
        <x:v>S6=1组合数</x:v>
      </x:c>
      <x:c r="C12" s="20" t="n">
        <x:v>4</x:v>
      </x:c>
      <x:c r="D12" s="20" t="n">
        <x:f>COUNTIF('两两互补明细'!$K$5:$K$32,1)</x:f>
        <x:v>4</x:v>
      </x:c>
      <x:c r="E12" s="20" t="str">
        <x:v>数值</x:v>
      </x:c>
      <x:c r="F12" s="20" t="n">
        <x:v>0</x:v>
      </x:c>
      <x:c r="G12" s="56" t="str">
        <x:f>IF(ABS(C12-D12)&lt;=F12,"PASS","FAIL")</x:f>
        <x:v>PASS</x:v>
      </x:c>
      <x:c r="H12" s="20" t="str">
        <x:v>仅补充一个主要维度</x:v>
      </x:c>
    </x:row>
    <x:row r="13" ht="34" customHeight="1">
      <x:c r="A13" s="20" t="str">
        <x:v>S6C-009</x:v>
      </x:c>
      <x:c r="B13" s="20" t="str">
        <x:v>S6=0组合数</x:v>
      </x:c>
      <x:c r="C13" s="20" t="n">
        <x:v>0</x:v>
      </x:c>
      <x:c r="D13" s="20" t="n">
        <x:f>COUNTIF('两两互补明细'!$K$5:$K$32,0)</x:f>
        <x:v>0</x:v>
      </x:c>
      <x:c r="E13" s="20" t="str">
        <x:v>数值</x:v>
      </x:c>
      <x:c r="F13" s="20" t="n">
        <x:v>0</x:v>
      </x:c>
      <x:c r="G13" s="56" t="str">
        <x:f>IF(ABS(C13-D13)&lt;=F13,"PASS","FAIL")</x:f>
        <x:v>PASS</x:v>
      </x:c>
      <x:c r="H13" s="20" t="str">
        <x:v>0分锚点仍保留</x:v>
      </x:c>
    </x:row>
    <x:row r="14" ht="34" customHeight="1">
      <x:c r="A14" s="20" t="str">
        <x:v>S6C-010</x:v>
      </x:c>
      <x:c r="B14" s="20" t="str">
        <x:v>方法边界配对数</x:v>
      </x:c>
      <x:c r="C14" s="20" t="n">
        <x:v>7</x:v>
      </x:c>
      <x:c r="D14" s="20" t="n">
        <x:f>COUNTIF('两两互补明细'!$L$5:$L$32,"BOUNDARY_COMPLEMENT")</x:f>
        <x:v>7</x:v>
      </x:c>
      <x:c r="E14" s="20" t="str">
        <x:v>数值</x:v>
      </x:c>
      <x:c r="F14" s="20" t="n">
        <x:v>0</x:v>
      </x:c>
      <x:c r="G14" s="56" t="str">
        <x:f>IF(ABS(C14-D14)&lt;=F14,"PASS","FAIL")</x:f>
        <x:v>PASS</x:v>
      </x:c>
      <x:c r="H14" s="20" t="str">
        <x:v>影石与其余7家</x:v>
      </x:c>
    </x:row>
    <x:row r="15" ht="34" customHeight="1">
      <x:c r="A15" s="20" t="str">
        <x:v>S6C-011</x:v>
      </x:c>
      <x:c r="B15" s="20" t="str">
        <x:v>候选组合数</x:v>
      </x:c>
      <x:c r="C15" s="20" t="n">
        <x:v>8</x:v>
      </x:c>
      <x:c r="D15" s="20" t="n">
        <x:f>COUNTA('候选组合画像'!$A$5:$A$12)</x:f>
        <x:v>8</x:v>
      </x:c>
      <x:c r="E15" s="20" t="str">
        <x:v>数值</x:v>
      </x:c>
      <x:c r="F15" s="20" t="n">
        <x:v>0</x:v>
      </x:c>
      <x:c r="G15" s="56" t="str">
        <x:f>IF(ABS(C15-D15)&lt;=F15,"PASS","FAIL")</x:f>
        <x:v>PASS</x:v>
      </x:c>
      <x:c r="H15" s="20" t="str">
        <x:v>无排名</x:v>
      </x:c>
    </x:row>
    <x:row r="16" ht="34" customHeight="1">
      <x:c r="A16" s="20" t="str">
        <x:v>S6C-012</x:v>
      </x:c>
      <x:c r="B16" s="20" t="str">
        <x:v>候选成员数合法</x:v>
      </x:c>
      <x:c r="C16" s="20" t="n">
        <x:v>8</x:v>
      </x:c>
      <x:c r="D16" s="20" t="n">
        <x:f>COUNTIFS('候选组合画像'!$F$5:$F$12,"&gt;=2",'候选组合画像'!$F$5:$F$12,"&lt;=3")</x:f>
        <x:v>8</x:v>
      </x:c>
      <x:c r="E16" s="20" t="str">
        <x:v>数值</x:v>
      </x:c>
      <x:c r="F16" s="20" t="n">
        <x:v>0</x:v>
      </x:c>
      <x:c r="G16" s="56" t="str">
        <x:f>IF(ABS(C16-D16)&lt;=F16,"PASS","FAIL")</x:f>
        <x:v>PASS</x:v>
      </x:c>
      <x:c r="H16" s="20" t="str">
        <x:v>每组2—3家</x:v>
      </x:c>
    </x:row>
    <x:row r="17" ht="34" customHeight="1">
      <x:c r="A17" s="20" t="str">
        <x:v>S6C-013</x:v>
      </x:c>
      <x:c r="B17" s="20" t="str">
        <x:v>候选P1通过数</x:v>
      </x:c>
      <x:c r="C17" s="20" t="n">
        <x:v>8</x:v>
      </x:c>
      <x:c r="D17" s="20" t="n">
        <x:f>COUNTIF('候选组合画像'!$L$5:$L$12,"PASS")</x:f>
        <x:v>8</x:v>
      </x:c>
      <x:c r="E17" s="20" t="str">
        <x:v>数值</x:v>
      </x:c>
      <x:c r="F17" s="20" t="n">
        <x:v>0</x:v>
      </x:c>
      <x:c r="G17" s="56" t="str">
        <x:f>IF(ABS(C17-D17)&lt;=F17,"PASS","FAIL")</x:f>
        <x:v>PASS</x:v>
      </x:c>
      <x:c r="H17" s="20" t="str">
        <x:v>全部候选</x:v>
      </x:c>
    </x:row>
    <x:row r="18" ht="34" customHeight="1">
      <x:c r="A18" s="20" t="str">
        <x:v>S6C-014</x:v>
      </x:c>
      <x:c r="B18" s="20" t="str">
        <x:v>候选P2通过数</x:v>
      </x:c>
      <x:c r="C18" s="20" t="n">
        <x:v>8</x:v>
      </x:c>
      <x:c r="D18" s="20" t="n">
        <x:f>COUNTIF('候选组合画像'!$M$5:$M$12,"PASS_NON_PEVC")+COUNTIF('候选组合画像'!$M$5:$M$12,"PASS_ALT_PATH")</x:f>
        <x:v>8</x:v>
      </x:c>
      <x:c r="E18" s="20" t="str">
        <x:v>数值</x:v>
      </x:c>
      <x:c r="F18" s="20" t="n">
        <x:v>0</x:v>
      </x:c>
      <x:c r="G18" s="56" t="str">
        <x:f>IF(ABS(C18-D18)&lt;=F18,"PASS","FAIL")</x:f>
        <x:v>PASS</x:v>
      </x:c>
      <x:c r="H18" s="20" t="str">
        <x:v>全部候选</x:v>
      </x:c>
    </x:row>
    <x:row r="19" ht="34" customHeight="1">
      <x:c r="A19" s="20" t="str">
        <x:v>S6C-015</x:v>
      </x:c>
      <x:c r="B19" s="20" t="str">
        <x:v>候选P3完整通过数</x:v>
      </x:c>
      <x:c r="C19" s="20" t="n">
        <x:v>8</x:v>
      </x:c>
      <x:c r="D19" s="20" t="n">
        <x:f>COUNTIF('候选组合画像'!$N$5:$N$12,"PASS_FULL")</x:f>
        <x:v>8</x:v>
      </x:c>
      <x:c r="E19" s="20" t="str">
        <x:v>数值</x:v>
      </x:c>
      <x:c r="F19" s="20" t="n">
        <x:v>0</x:v>
      </x:c>
      <x:c r="G19" s="56" t="str">
        <x:f>IF(ABS(C19-D19)&lt;=F19,"PASS","FAIL")</x:f>
        <x:v>PASS</x:v>
      </x:c>
      <x:c r="H19" s="20" t="str">
        <x:v>全部候选</x:v>
      </x:c>
    </x:row>
    <x:row r="20" ht="34" customHeight="1">
      <x:c r="A20" s="20" t="str">
        <x:v>S6C-016</x:v>
      </x:c>
      <x:c r="B20" s="20" t="str">
        <x:v>候选P4通过或不适用数</x:v>
      </x:c>
      <x:c r="C20" s="20" t="n">
        <x:v>8</x:v>
      </x:c>
      <x:c r="D20" s="20" t="n">
        <x:f>COUNTIF('候选组合画像'!$O$5:$O$12,"PASS")+COUNTIF('候选组合画像'!$O$5:$O$12,"NOT_APPLICABLE")</x:f>
        <x:v>8</x:v>
      </x:c>
      <x:c r="E20" s="20" t="str">
        <x:v>数值</x:v>
      </x:c>
      <x:c r="F20" s="20" t="n">
        <x:v>0</x:v>
      </x:c>
      <x:c r="G20" s="56" t="str">
        <x:f>IF(ABS(C20-D20)&lt;=F20,"PASS","FAIL")</x:f>
        <x:v>PASS</x:v>
      </x:c>
      <x:c r="H20" s="20" t="str">
        <x:v>边界组合需两家核心</x:v>
      </x:c>
    </x:row>
    <x:row r="21" ht="34" customHeight="1">
      <x:c r="A21" s="20" t="str">
        <x:v>S6C-017</x:v>
      </x:c>
      <x:c r="B21" s="20" t="str">
        <x:v>最终选择状态数</x:v>
      </x:c>
      <x:c r="C21" s="20" t="n">
        <x:v>0</x:v>
      </x:c>
      <x:c r="D21" s="20" t="n">
        <x:f>COUNTIF('候选组合画像'!$W$5:$W$12,"FINAL_SELECTED")</x:f>
        <x:v>0</x:v>
      </x:c>
      <x:c r="E21" s="20" t="str">
        <x:v>数值</x:v>
      </x:c>
      <x:c r="F21" s="20" t="n">
        <x:v>0</x:v>
      </x:c>
      <x:c r="G21" s="56" t="str">
        <x:f>IF(ABS(C21-D21)&lt;=F21,"PASS","FAIL")</x:f>
        <x:v>PASS</x:v>
      </x:c>
      <x:c r="H21" s="20" t="str">
        <x:v>本阶段不得最终选择</x:v>
      </x:c>
    </x:row>
    <x:row r="22" ht="34" customHeight="1">
      <x:c r="A22" s="20" t="str">
        <x:v>S6C-018</x:v>
      </x:c>
      <x:c r="B22" s="20" t="str">
        <x:v>公司总分字段数</x:v>
      </x:c>
      <x:c r="C22" s="20" t="n">
        <x:v>0</x:v>
      </x:c>
      <x:c r="D22" s="20" t="n">
        <x:f>COUNTIF('两两互补明细'!$A$4:$AB$4,"公司总分")+COUNTIF('候选组合画像'!$A$4:$X$4,"公司总分")</x:f>
        <x:v>0</x:v>
      </x:c>
      <x:c r="E22" s="20" t="str">
        <x:v>数值</x:v>
      </x:c>
      <x:c r="F22" s="20" t="n">
        <x:v>0</x:v>
      </x:c>
      <x:c r="G22" s="56" t="str">
        <x:f>IF(ABS(C22-D22)&lt;=F22,"PASS","FAIL")</x:f>
        <x:v>PASS</x:v>
      </x:c>
      <x:c r="H22" s="20" t="str">
        <x:v>禁止求和</x:v>
      </x:c>
    </x:row>
    <x:row r="23" ht="34" customHeight="1">
      <x:c r="A23" s="20" t="str">
        <x:v>S6C-019</x:v>
      </x:c>
      <x:c r="B23" s="20" t="str">
        <x:v>公司排名字段数</x:v>
      </x:c>
      <x:c r="C23" s="20" t="n">
        <x:v>0</x:v>
      </x:c>
      <x:c r="D23" s="20" t="n">
        <x:f>COUNTIF('两两互补明细'!$A$4:$AB$4,"公司排名")+COUNTIF('候选组合画像'!$A$4:$X$4,"公司排名")</x:f>
        <x:v>0</x:v>
      </x:c>
      <x:c r="E23" s="20" t="str">
        <x:v>数值</x:v>
      </x:c>
      <x:c r="F23" s="20" t="n">
        <x:v>0</x:v>
      </x:c>
      <x:c r="G23" s="56" t="str">
        <x:f>IF(ABS(C23-D23)&lt;=F23,"PASS","FAIL")</x:f>
        <x:v>PASS</x:v>
      </x:c>
      <x:c r="H23" s="20" t="str">
        <x:v>禁止排名</x:v>
      </x:c>
    </x:row>
    <x:row r="24" ht="34" customHeight="1">
      <x:c r="A24" s="20" t="str">
        <x:v>S6C-020</x:v>
      </x:c>
      <x:c r="B24" s="20" t="str">
        <x:v>云汉芯城至少进入一个候选组合</x:v>
      </x:c>
      <x:c r="C24" s="20" t="n">
        <x:v>1</x:v>
      </x:c>
      <x:c r="D24" s="20" t="n">
        <x:f>IF(COUNTIF('候选组合画像'!$C$5:$E$12,"301563")&gt;=1,1,0)</x:f>
        <x:v>1</x:v>
      </x:c>
      <x:c r="E24" s="20" t="str">
        <x:v>数值</x:v>
      </x:c>
      <x:c r="F24" s="20" t="n">
        <x:v>0</x:v>
      </x:c>
      <x:c r="G24" s="56" t="str">
        <x:f>IF(ABS(C24-D24)&lt;=F24,"PASS","FAIL")</x:f>
        <x:v>PASS</x:v>
      </x:c>
      <x:c r="H24" s="20" t="str">
        <x:v>全公司保留候选角色</x:v>
      </x:c>
    </x:row>
    <x:row r="25" ht="34" customHeight="1">
      <x:c r="A25" s="20" t="str">
        <x:v>S6C-021</x:v>
      </x:c>
      <x:c r="B25" s="20" t="str">
        <x:v>黄山谷捷至少进入一个候选组合</x:v>
      </x:c>
      <x:c r="C25" s="20" t="n">
        <x:v>1</x:v>
      </x:c>
      <x:c r="D25" s="20" t="n">
        <x:f>IF(COUNTIF('候选组合画像'!$C$5:$E$12,"301581")&gt;=1,1,0)</x:f>
        <x:v>1</x:v>
      </x:c>
      <x:c r="E25" s="20" t="str">
        <x:v>数值</x:v>
      </x:c>
      <x:c r="F25" s="20" t="n">
        <x:v>0</x:v>
      </x:c>
      <x:c r="G25" s="56" t="str">
        <x:f>IF(ABS(C25-D25)&lt;=F25,"PASS","FAIL")</x:f>
        <x:v>PASS</x:v>
      </x:c>
      <x:c r="H25" s="20" t="str">
        <x:v>全公司保留候选角色</x:v>
      </x:c>
    </x:row>
    <x:row r="26" ht="34" customHeight="1">
      <x:c r="A26" s="20" t="str">
        <x:v>S6C-022</x:v>
      </x:c>
      <x:c r="B26" s="20" t="str">
        <x:v>友升股份至少进入一个候选组合</x:v>
      </x:c>
      <x:c r="C26" s="20" t="n">
        <x:v>1</x:v>
      </x:c>
      <x:c r="D26" s="20" t="n">
        <x:f>IF(COUNTIF('候选组合画像'!$C$5:$E$12,"603418")&gt;=1,1,0)</x:f>
        <x:v>1</x:v>
      </x:c>
      <x:c r="E26" s="20" t="str">
        <x:v>数值</x:v>
      </x:c>
      <x:c r="F26" s="20" t="n">
        <x:v>0</x:v>
      </x:c>
      <x:c r="G26" s="56" t="str">
        <x:f>IF(ABS(C26-D26)&lt;=F26,"PASS","FAIL")</x:f>
        <x:v>PASS</x:v>
      </x:c>
      <x:c r="H26" s="20" t="str">
        <x:v>全公司保留候选角色</x:v>
      </x:c>
    </x:row>
    <x:row r="27" ht="34" customHeight="1">
      <x:c r="A27" s="20" t="str">
        <x:v>S6C-023</x:v>
      </x:c>
      <x:c r="B27" s="20" t="str">
        <x:v>赛分科技至少进入一个候选组合</x:v>
      </x:c>
      <x:c r="C27" s="20" t="n">
        <x:v>1</x:v>
      </x:c>
      <x:c r="D27" s="20" t="n">
        <x:f>IF(COUNTIF('候选组合画像'!$C$5:$E$12,"688758")&gt;=1,1,0)</x:f>
        <x:v>1</x:v>
      </x:c>
      <x:c r="E27" s="20" t="str">
        <x:v>数值</x:v>
      </x:c>
      <x:c r="F27" s="20" t="n">
        <x:v>0</x:v>
      </x:c>
      <x:c r="G27" s="56" t="str">
        <x:f>IF(ABS(C27-D27)&lt;=F27,"PASS","FAIL")</x:f>
        <x:v>PASS</x:v>
      </x:c>
      <x:c r="H27" s="20" t="str">
        <x:v>全公司保留候选角色</x:v>
      </x:c>
    </x:row>
    <x:row r="28" ht="34" customHeight="1">
      <x:c r="A28" s="20" t="str">
        <x:v>S6C-024</x:v>
      </x:c>
      <x:c r="B28" s="20" t="str">
        <x:v>影石创新至少进入一个候选组合</x:v>
      </x:c>
      <x:c r="C28" s="20" t="n">
        <x:v>1</x:v>
      </x:c>
      <x:c r="D28" s="20" t="n">
        <x:f>IF(COUNTIF('候选组合画像'!$C$5:$E$12,"688775")&gt;=1,1,0)</x:f>
        <x:v>1</x:v>
      </x:c>
      <x:c r="E28" s="20" t="str">
        <x:v>数值</x:v>
      </x:c>
      <x:c r="F28" s="20" t="n">
        <x:v>0</x:v>
      </x:c>
      <x:c r="G28" s="56" t="str">
        <x:f>IF(ABS(C28-D28)&lt;=F28,"PASS","FAIL")</x:f>
        <x:v>PASS</x:v>
      </x:c>
      <x:c r="H28" s="20" t="str">
        <x:v>全公司保留候选角色</x:v>
      </x:c>
    </x:row>
    <x:row r="29" ht="34" customHeight="1">
      <x:c r="A29" s="20" t="str">
        <x:v>S6C-025</x:v>
      </x:c>
      <x:c r="B29" s="20" t="str">
        <x:v>三协电机至少进入一个候选组合</x:v>
      </x:c>
      <x:c r="C29" s="20" t="n">
        <x:v>1</x:v>
      </x:c>
      <x:c r="D29" s="20" t="n">
        <x:f>IF(COUNTIF('候选组合画像'!$C$5:$E$12,"920100")&gt;=1,1,0)</x:f>
        <x:v>1</x:v>
      </x:c>
      <x:c r="E29" s="20" t="str">
        <x:v>数值</x:v>
      </x:c>
      <x:c r="F29" s="20" t="n">
        <x:v>0</x:v>
      </x:c>
      <x:c r="G29" s="56" t="str">
        <x:f>IF(ABS(C29-D29)&lt;=F29,"PASS","FAIL")</x:f>
        <x:v>PASS</x:v>
      </x:c>
      <x:c r="H29" s="20" t="str">
        <x:v>全公司保留候选角色</x:v>
      </x:c>
    </x:row>
    <x:row r="30" ht="34" customHeight="1">
      <x:c r="A30" s="20" t="str">
        <x:v>S6C-026</x:v>
      </x:c>
      <x:c r="B30" s="20" t="str">
        <x:v>星图测控至少进入一个候选组合</x:v>
      </x:c>
      <x:c r="C30" s="20" t="n">
        <x:v>1</x:v>
      </x:c>
      <x:c r="D30" s="20" t="n">
        <x:f>IF(COUNTIF('候选组合画像'!$C$5:$E$12,"920116")&gt;=1,1,0)</x:f>
        <x:v>1</x:v>
      </x:c>
      <x:c r="E30" s="20" t="str">
        <x:v>数值</x:v>
      </x:c>
      <x:c r="F30" s="20" t="n">
        <x:v>0</x:v>
      </x:c>
      <x:c r="G30" s="56" t="str">
        <x:f>IF(ABS(C30-D30)&lt;=F30,"PASS","FAIL")</x:f>
        <x:v>PASS</x:v>
      </x:c>
      <x:c r="H30" s="20" t="str">
        <x:v>全公司保留候选角色</x:v>
      </x:c>
    </x:row>
    <x:row r="31" ht="34" customHeight="1">
      <x:c r="A31" s="21" t="str">
        <x:v>S6C-027</x:v>
      </x:c>
      <x:c r="B31" s="21" t="str">
        <x:v>三联锻造至少进入一个候选组合</x:v>
      </x:c>
      <x:c r="C31" s="21" t="n">
        <x:v>1</x:v>
      </x:c>
      <x:c r="D31" s="21" t="n">
        <x:f>IF(COUNTIF('候选组合画像'!$C$5:$E$12,"001282")&gt;=1,1,0)</x:f>
        <x:v>1</x:v>
      </x:c>
      <x:c r="E31" s="21" t="str">
        <x:v>数值</x:v>
      </x:c>
      <x:c r="F31" s="21" t="n">
        <x:v>0</x:v>
      </x:c>
      <x:c r="G31" s="57" t="str">
        <x:f>IF(ABS(C31-D31)&lt;=F31,"PASS","FAIL")</x:f>
        <x:v>PASS</x:v>
      </x:c>
      <x:c r="H31" s="21" t="str">
        <x:v>全公司保留候选角色</x:v>
      </x:c>
    </x:row>
    <x:row r="32">
      <x:c r="A32" s="66"/>
      <x:c r="B32" s="66"/>
      <x:c r="C32" s="66"/>
      <x:c r="D32" s="66"/>
      <x:c r="E32" s="66"/>
      <x:c r="F32" s="66"/>
      <x:c r="G32" s="66"/>
      <x:c r="H32" s="66"/>
    </x:row>
    <x:row r="33" ht="24" customHeight="1">
      <x:c r="A33" s="67" t="str">
        <x:v>最终状态</x:v>
      </x:c>
      <x:c r="B33" s="67"/>
      <x:c r="C33" s="67"/>
      <x:c r="D33" s="67"/>
      <x:c r="E33" s="67"/>
      <x:c r="F33" s="67"/>
      <x:c r="G33" s="67"/>
      <x:c r="H33" s="67"/>
    </x:row>
    <x:row r="34" ht="30" customHeight="1">
      <x:c r="A34" s="75" t="str">
        <x:v>STAGE6C_STATUS</x:v>
      </x:c>
      <x:c r="B34" s="75" t="str">
        <x:f>IF(COUNTIF(G5:G31,"FAIL")=0,"PASS","REVIEW")</x:f>
        <x:v>PASS</x:v>
      </x:c>
      <x:c r="C34" s="75"/>
      <x:c r="D34" s="75"/>
      <x:c r="E34" s="75"/>
      <x:c r="F34" s="75"/>
      <x:c r="G34" s="75"/>
      <x:c r="H34" s="75"/>
    </x:row>
  </x:sheetData>
  <x:mergeCells>
    <x:mergeCell ref="A1:H1"/>
    <x:mergeCell ref="A2:H2"/>
    <x:mergeCell ref="A33:H33"/>
    <x:mergeCell ref="B34:H34"/>
  </x:mergeCells>
  <x:pageMargins left="0.7" right="0.7" top="0.75" bottom="0.75" header="0.3" footer="0.3"/>
</x:worksheet>
</file>