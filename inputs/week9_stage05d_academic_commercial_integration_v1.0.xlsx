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6d2346cb85944f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阶段说明" sheetId="1" r:id="Rdf177a2621d047de"/>
    <x:sheet xmlns:r="http://schemas.openxmlformats.org/officeDocument/2006/relationships" name="整合变量地图" sheetId="2" r:id="Rd336dabc97e34cae"/>
    <x:sheet xmlns:r="http://schemas.openxmlformats.org/officeDocument/2006/relationships" name="变量组合包" sheetId="3" r:id="R390d3b5dc36c4f4c"/>
    <x:sheet xmlns:r="http://schemas.openxmlformats.org/officeDocument/2006/relationships" name="冗余与替代决策" sheetId="4" r:id="Rae0e1b8646944ab6"/>
    <x:sheet xmlns:r="http://schemas.openxmlformats.org/officeDocument/2006/relationships" name="核心变量集" sheetId="5" r:id="R044f6ac60bed4858"/>
    <x:sheet xmlns:r="http://schemas.openxmlformats.org/officeDocument/2006/relationships" name="公司选择框架" sheetId="6" r:id="Rf44e751ad86c44a4"/>
    <x:sheet xmlns:r="http://schemas.openxmlformats.org/officeDocument/2006/relationships" name="Stage5综合结论" sheetId="7" r:id="R3be83730969d4f0f"/>
    <x:sheet xmlns:r="http://schemas.openxmlformats.org/officeDocument/2006/relationships" name="验收检查" sheetId="8" r:id="R99d3d5d8f2304f4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1">
    <x:font>
      <x:sz val="11"/>
      <x:name val="Carlito"/>
    </x:font>
    <x:font>
      <x:b/>
      <x:sz val="16"/>
      <x:color rgb="FFFFFFFF"/>
      <x:name val="Microsoft YaHei"/>
    </x:font>
    <x:font>
      <x:i/>
      <x:sz val="11"/>
      <x:color rgb="FF475569"/>
      <x:name val="Microsoft YaHei"/>
    </x:font>
    <x:font>
      <x:b/>
      <x:sz val="11"/>
      <x:color rgb="FFFFFFFF"/>
      <x:name val="Microsoft YaHei"/>
    </x:font>
    <x:font>
      <x:sz val="11"/>
      <x:name val="Microsoft YaHei"/>
    </x:font>
    <x:font>
      <x:b/>
      <x:sz val="11"/>
      <x:color rgb="FF0F766E"/>
      <x:name val="Microsoft YaHei"/>
    </x:font>
    <x:font>
      <x:b/>
      <x:sz val="11"/>
      <x:color rgb="FF5B21B6"/>
      <x:name val="Microsoft YaHei"/>
    </x:font>
    <x:font>
      <x:sz val="11"/>
      <x:color rgb="FF008000"/>
      <x:name val="Microsoft YaHei"/>
    </x:font>
    <x:font>
      <x:sz val="11"/>
      <x:color rgb="FF111827"/>
      <x:name val="Microsoft YaHei"/>
    </x:font>
    <x:font>
      <x:sz val="11"/>
      <x:color rgb="FF5B21B6"/>
      <x:name val="Microsoft YaHei"/>
    </x:font>
    <x:font>
      <x:b/>
      <x:sz val="14"/>
      <x:color rgb="FF166534"/>
      <x:name val="Microsoft YaHei"/>
    </x:font>
  </x:fonts>
  <x:fills count="10">
    <x:fill>
      <x:patternFill patternType="none"/>
    </x:fill>
    <x:fill>
      <x:patternFill patternType="gray125"/>
    </x:fill>
    <x:fill>
      <x:patternFill patternType="solid">
        <x:fgColor rgb="FF0B1F33"/>
      </x:patternFill>
    </x:fill>
    <x:fill>
      <x:patternFill patternType="solid">
        <x:fgColor rgb="FFE8F1FB"/>
      </x:patternFill>
    </x:fill>
    <x:fill>
      <x:patternFill patternType="solid">
        <x:fgColor rgb="FFDDF4F0"/>
      </x:patternFill>
    </x:fill>
    <x:fill>
      <x:patternFill patternType="solid">
        <x:fgColor rgb="FFEDE9FE"/>
      </x:patternFill>
    </x:fill>
    <x:fill>
      <x:patternFill patternType="solid">
        <x:fgColor rgb="FF0F766E"/>
      </x:patternFill>
    </x:fill>
    <x:fill>
      <x:patternFill patternType="solid">
        <x:fgColor rgb="FFFEF3C7"/>
      </x:patternFill>
    </x:fill>
    <x:fill>
      <x:patternFill patternType="solid">
        <x:fgColor rgb="FFF1F5F9"/>
      </x:patternFill>
    </x:fill>
    <x:fill>
      <x:patternFill patternType="solid">
        <x:fgColor rgb="FFDCFCE7"/>
      </x:patternFill>
    </x:fill>
  </x:fills>
  <x:borders count="5">
    <x:border/>
    <x:border>
      <x:bottom style="thin">
        <x:color rgb="FFCBD5E1"/>
      </x:bottom>
    </x:border>
    <x:border>
      <x:right style="thin">
        <x:color rgb="FFFFFFFF"/>
      </x:right>
    </x:border>
    <x:border>
      <x:left style="thin">
        <x:color rgb="FFFFFFFF"/>
      </x:left>
      <x:right style="thin">
        <x:color rgb="FFFFFFFF"/>
      </x:right>
    </x:border>
    <x:border>
      <x:left style="thin">
        <x:color rgb="FFFFFFFF"/>
      </x:left>
    </x:border>
  </x:borders>
  <x:cellStyleXfs count="1">
    <x:xf numFmtId="0" fontId="0" fillId="0" borderId="0"/>
  </x:cellStyleXfs>
  <x:cellXfs count="8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vertical="center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0" borderId="1" xfId="0" applyNumberFormat="1" applyFont="1" applyFill="1" applyBorder="1"/>
    <x:xf numFmtId="0" fontId="4" fillId="0" borderId="0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0" borderId="1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vertical="top" wrapText="1"/>
    </x:xf>
    <x:xf numFmtId="0" fontId="4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0" borderId="1" xfId="0" applyNumberFormat="1" applyFont="1" applyFill="1" applyBorder="1" applyAlignment="1">
      <x:alignment vertical="top" wrapText="1"/>
    </x:xf>
    <x:xf numFmtId="0" fontId="4" fillId="4" borderId="0" xfId="0" applyNumberFormat="1" applyFont="1" applyFill="1" applyBorder="1" applyAlignment="1">
      <x:alignment vertical="top" wrapText="1"/>
    </x:xf>
    <x:xf numFmtId="0" fontId="4" fillId="4" borderId="1" xfId="0" applyNumberFormat="1" applyFont="1" applyFill="1" applyBorder="1" applyAlignment="1">
      <x:alignment vertical="top" wrapText="1"/>
    </x:xf>
    <x:xf numFmtId="0" fontId="5" fillId="4" borderId="0" xfId="0" applyNumberFormat="1" applyFont="1" applyFill="1" applyBorder="1" applyAlignment="1">
      <x:alignment vertical="top" wrapText="1"/>
    </x:xf>
    <x:xf numFmtId="0" fontId="5" fillId="4" borderId="1" xfId="0" applyNumberFormat="1" applyFont="1" applyFill="1" applyBorder="1" applyAlignment="1">
      <x:alignment vertical="top" wrapText="1"/>
    </x:xf>
    <x:xf numFmtId="0" fontId="4" fillId="0" borderId="0" xfId="0" applyNumberFormat="1" applyFont="1" applyFill="1" applyBorder="1" applyAlignment="1">
      <x:alignment vertical="center" wrapText="1"/>
    </x:xf>
    <x:xf numFmtId="0" fontId="4" fillId="0" borderId="1" xfId="0" applyNumberFormat="1" applyFont="1" applyFill="1" applyBorder="1" applyAlignment="1">
      <x:alignment vertical="center" wrapText="1"/>
    </x:xf>
    <x:xf numFmtId="0" fontId="4" fillId="5" borderId="0" xfId="0" applyNumberFormat="1" applyFont="1" applyFill="1" applyBorder="1" applyAlignment="1">
      <x:alignment vertical="center" wrapText="1"/>
    </x:xf>
    <x:xf numFmtId="0" fontId="4" fillId="5" borderId="1" xfId="0" applyNumberFormat="1" applyFont="1" applyFill="1" applyBorder="1" applyAlignment="1">
      <x:alignment vertical="center" wrapText="1"/>
    </x:xf>
    <x:xf numFmtId="0" fontId="6" fillId="5" borderId="0" xfId="0" applyNumberFormat="1" applyFont="1" applyFill="1" applyBorder="1" applyAlignment="1">
      <x:alignment vertical="center" wrapText="1"/>
    </x:xf>
    <x:xf numFmtId="0" fontId="6" fillId="5" borderId="1" xfId="0" applyNumberFormat="1" applyFont="1" applyFill="1" applyBorder="1" applyAlignment="1">
      <x:alignment vertical="center" wrapText="1"/>
    </x:xf>
    <x:xf numFmtId="0" fontId="6" fillId="5" borderId="0" xfId="0" applyNumberFormat="1" applyFont="1" applyFill="1" applyBorder="1" applyAlignment="1">
      <x:alignment horizontal="center" vertical="center" wrapText="1"/>
    </x:xf>
    <x:xf numFmtId="0" fontId="6" fillId="5" borderId="1" xfId="0" applyNumberFormat="1" applyFont="1" applyFill="1" applyBorder="1" applyAlignment="1">
      <x:alignment horizontal="center" vertical="center" wrapText="1"/>
    </x:xf>
    <x:xf numFmtId="0" fontId="7" fillId="0" borderId="0" xfId="0" applyNumberFormat="1" applyFont="1" applyFill="1" applyBorder="1" applyAlignment="1">
      <x:alignment vertical="center" wrapText="1"/>
    </x:xf>
    <x:xf numFmtId="0" fontId="8" fillId="0" borderId="0" xfId="0" applyNumberFormat="1" applyFont="1" applyFill="1" applyBorder="1" applyAlignment="1">
      <x:alignment vertical="center" wrapText="1"/>
    </x:xf>
    <x:xf numFmtId="0" fontId="9" fillId="5" borderId="0" xfId="0" applyNumberFormat="1" applyFont="1" applyFill="1" applyBorder="1" applyAlignment="1">
      <x:alignment vertical="center" wrapText="1"/>
    </x:xf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3" fillId="6" borderId="2" xfId="0" applyNumberFormat="1" applyFont="1" applyFill="1" applyBorder="1"/>
    <x:xf numFmtId="0" fontId="3" fillId="6" borderId="3" xfId="0" applyNumberFormat="1" applyFont="1" applyFill="1" applyBorder="1"/>
    <x:xf numFmtId="0" fontId="3" fillId="6" borderId="4" xfId="0" applyNumberFormat="1" applyFont="1" applyFill="1" applyBorder="1"/>
    <x:xf numFmtId="0" fontId="3" fillId="6" borderId="2" xfId="0" applyNumberFormat="1" applyFont="1" applyFill="1" applyBorder="1" applyAlignment="1">
      <x:alignment wrapText="1"/>
    </x:xf>
    <x:xf numFmtId="0" fontId="3" fillId="6" borderId="3" xfId="0" applyNumberFormat="1" applyFont="1" applyFill="1" applyBorder="1" applyAlignment="1">
      <x:alignment wrapText="1"/>
    </x:xf>
    <x:xf numFmtId="0" fontId="3" fillId="6" borderId="4" xfId="0" applyNumberFormat="1" applyFont="1" applyFill="1" applyBorder="1" applyAlignment="1">
      <x:alignment wrapText="1"/>
    </x:xf>
    <x:xf numFmtId="0" fontId="3" fillId="6" borderId="2" xfId="0" applyNumberFormat="1" applyFont="1" applyFill="1" applyBorder="1" applyAlignment="1">
      <x:alignment horizontal="center" wrapText="1"/>
    </x:xf>
    <x:xf numFmtId="0" fontId="3" fillId="6" borderId="3" xfId="0" applyNumberFormat="1" applyFont="1" applyFill="1" applyBorder="1" applyAlignment="1">
      <x:alignment horizontal="center" wrapText="1"/>
    </x:xf>
    <x:xf numFmtId="0" fontId="3" fillId="6" borderId="4" xfId="0" applyNumberFormat="1" applyFont="1" applyFill="1" applyBorder="1" applyAlignment="1">
      <x:alignment horizontal="center" wrapText="1"/>
    </x:xf>
    <x:xf numFmtId="0" fontId="3" fillId="6" borderId="2" xfId="0" applyNumberFormat="1" applyFont="1" applyFill="1" applyBorder="1" applyAlignment="1">
      <x:alignment horizontal="center" vertical="center" wrapText="1"/>
    </x:xf>
    <x:xf numFmtId="0" fontId="3" fillId="6" borderId="3" xfId="0" applyNumberFormat="1" applyFont="1" applyFill="1" applyBorder="1" applyAlignment="1">
      <x:alignment horizontal="center" vertical="center" wrapText="1"/>
    </x:xf>
    <x:xf numFmtId="0" fontId="3" fillId="6" borderId="4" xfId="0" applyNumberFormat="1" applyFont="1" applyFill="1" applyBorder="1" applyAlignment="1">
      <x:alignment horizontal="center" vertical="center" wrapText="1"/>
    </x:xf>
    <x:xf numFmtId="0" fontId="8" fillId="0" borderId="0" xfId="0" applyNumberFormat="1" applyFont="1" applyFill="1" applyBorder="1"/>
    <x:xf numFmtId="0" fontId="8" fillId="0" borderId="1" xfId="0" applyNumberFormat="1" applyFont="1" applyFill="1" applyBorder="1"/>
    <x:xf numFmtId="0" fontId="8" fillId="0" borderId="0" xfId="0" applyNumberFormat="1" applyFont="1" applyFill="1" applyBorder="1" applyAlignment="1">
      <x:alignment wrapText="1"/>
    </x:xf>
    <x:xf numFmtId="0" fontId="8" fillId="0" borderId="1" xfId="0" applyNumberFormat="1" applyFont="1" applyFill="1" applyBorder="1" applyAlignment="1">
      <x:alignment wrapText="1"/>
    </x:xf>
    <x:xf numFmtId="0" fontId="8" fillId="0" borderId="0" xfId="0" applyNumberFormat="1" applyFont="1" applyFill="1" applyBorder="1" applyAlignment="1">
      <x:alignment vertical="top" wrapText="1"/>
    </x:xf>
    <x:xf numFmtId="0" fontId="8" fillId="0" borderId="1" xfId="0" applyNumberFormat="1" applyFont="1" applyFill="1" applyBorder="1" applyAlignment="1">
      <x:alignment vertical="top" wrapText="1"/>
    </x:xf>
    <x:xf numFmtId="0" fontId="7" fillId="0" borderId="0" xfId="0" applyNumberFormat="1" applyFont="1" applyFill="1" applyBorder="1" applyAlignment="1">
      <x:alignment vertical="top" wrapText="1"/>
    </x:xf>
    <x:xf numFmtId="0" fontId="7" fillId="0" borderId="1" xfId="0" applyNumberFormat="1" applyFont="1" applyFill="1" applyBorder="1" applyAlignment="1">
      <x:alignment vertical="top" wrapText="1"/>
    </x:xf>
    <x:xf numFmtId="0" fontId="8" fillId="5" borderId="0" xfId="0" applyNumberFormat="1" applyFont="1" applyFill="1" applyBorder="1" applyAlignment="1">
      <x:alignment vertical="top" wrapText="1"/>
    </x:xf>
    <x:xf numFmtId="0" fontId="8" fillId="5" borderId="1" xfId="0" applyNumberFormat="1" applyFont="1" applyFill="1" applyBorder="1" applyAlignment="1">
      <x:alignment vertical="top" wrapText="1"/>
    </x:xf>
    <x:xf numFmtId="0" fontId="9" fillId="5" borderId="0" xfId="0" applyNumberFormat="1" applyFont="1" applyFill="1" applyBorder="1" applyAlignment="1">
      <x:alignment vertical="top" wrapText="1"/>
    </x:xf>
    <x:xf numFmtId="0" fontId="9" fillId="5" borderId="1" xfId="0" applyNumberFormat="1" applyFont="1" applyFill="1" applyBorder="1" applyAlignment="1">
      <x:alignment vertical="top" wrapText="1"/>
    </x:xf>
    <x:xf numFmtId="0" fontId="8" fillId="7" borderId="0" xfId="0" applyNumberFormat="1" applyFont="1" applyFill="1" applyBorder="1" applyAlignment="1">
      <x:alignment vertical="top" wrapText="1"/>
    </x:xf>
    <x:xf numFmtId="0" fontId="8" fillId="7" borderId="1" xfId="0" applyNumberFormat="1" applyFont="1" applyFill="1" applyBorder="1" applyAlignment="1">
      <x:alignment vertical="top" wrapText="1"/>
    </x:xf>
    <x:xf numFmtId="0" fontId="8" fillId="4" borderId="0" xfId="0" applyNumberFormat="1" applyFont="1" applyFill="1" applyBorder="1" applyAlignment="1">
      <x:alignment vertical="top" wrapText="1"/>
    </x:xf>
    <x:xf numFmtId="0" fontId="8" fillId="4" borderId="1" xfId="0" applyNumberFormat="1" applyFont="1" applyFill="1" applyBorder="1" applyAlignment="1">
      <x:alignment vertical="top" wrapText="1"/>
    </x:xf>
    <x:xf numFmtId="0" fontId="0" fillId="8" borderId="0" xfId="0" applyNumberFormat="1" applyFont="1" applyFill="1" applyBorder="1"/>
    <x:xf numFmtId="0" fontId="4" fillId="8" borderId="0" xfId="0" applyNumberFormat="1" applyFont="1" applyFill="1" applyBorder="1"/>
    <x:xf numFmtId="0" fontId="4" fillId="8" borderId="1" xfId="0" applyNumberFormat="1" applyFont="1" applyFill="1" applyBorder="1"/>
    <x:xf numFmtId="0" fontId="4" fillId="8" borderId="0" xfId="0" applyNumberFormat="1" applyFont="1" applyFill="1" applyBorder="1" applyAlignment="1">
      <x:alignment wrapText="1"/>
    </x:xf>
    <x:xf numFmtId="0" fontId="4" fillId="8" borderId="1" xfId="0" applyNumberFormat="1" applyFont="1" applyFill="1" applyBorder="1" applyAlignment="1">
      <x:alignment wrapText="1"/>
    </x:xf>
    <x:xf numFmtId="0" fontId="4" fillId="8" borderId="0" xfId="0" applyNumberFormat="1" applyFont="1" applyFill="1" applyBorder="1" applyAlignment="1">
      <x:alignment vertical="center" wrapText="1"/>
    </x:xf>
    <x:xf numFmtId="0" fontId="4" fillId="8" borderId="1" xfId="0" applyNumberFormat="1" applyFont="1" applyFill="1" applyBorder="1" applyAlignment="1">
      <x:alignment vertical="center" wrapText="1"/>
    </x:xf>
    <x:xf numFmtId="0" fontId="8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8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8" fillId="0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8" fillId="0" borderId="1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8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8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9" borderId="0" xfId="0" applyNumberFormat="1" applyFont="1" applyFill="1" applyBorder="1"/>
    <x:xf numFmtId="0" fontId="10" fillId="9" borderId="0" xfId="0" applyNumberFormat="1" applyFont="1" applyFill="1" applyBorder="1"/>
    <x:xf numFmtId="0" fontId="10" fillId="9" borderId="0" xfId="0" applyNumberFormat="1" applyFont="1" applyFill="1" applyBorder="1" applyAlignment="1">
      <x:alignment horizontal="center"/>
    </x:xf>
    <x:xf numFmtId="0" fontId="10" fillId="9" borderId="0" xfId="0" applyNumberFormat="1" applyFont="1" applyFill="1" applyBorder="1" applyAlignment="1">
      <x:alignment horizontal="center" vertical="center"/>
    </x:xf>
  </x:cellXfs>
  <x:cellStyles count="1">
    <x:cellStyle name="Normal" xfId="0"/>
  </x:cellStyles>
  <x:dxfs count="5"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2563EB"/>
      </x:font>
      <x:fill>
        <x:patternFill patternType="solid">
          <x:bgColor rgb="FFE8F1FB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70ee6c394c84678" /><Relationship Type="http://schemas.openxmlformats.org/officeDocument/2006/relationships/theme" Target="/xl/theme/theme1.xml" Id="Rc1d61420e824462b" /><Relationship Type="http://schemas.microsoft.com/office/2022/11/relationships/FeaturePropertyBag" Target="/xl/featurePropertyBag/featurePropertyBag.xml" Id="R10eba6f160e64e13" /><Relationship Type="http://schemas.openxmlformats.org/officeDocument/2006/relationships/sharedStrings" Target="/xl/sharedStrings.xml" Id="Rf15d6ba787554951" /><Relationship Type="http://schemas.openxmlformats.org/officeDocument/2006/relationships/worksheet" Target="/xl/worksheets/sheet1.xml" Id="Rdf177a2621d047de" /><Relationship Type="http://schemas.openxmlformats.org/officeDocument/2006/relationships/worksheet" Target="/xl/worksheets/sheet2.xml" Id="Rd336dabc97e34cae" /><Relationship Type="http://schemas.openxmlformats.org/officeDocument/2006/relationships/worksheet" Target="/xl/worksheets/sheet3.xml" Id="R390d3b5dc36c4f4c" /><Relationship Type="http://schemas.openxmlformats.org/officeDocument/2006/relationships/worksheet" Target="/xl/worksheets/sheet4.xml" Id="Rae0e1b8646944ab6" /><Relationship Type="http://schemas.openxmlformats.org/officeDocument/2006/relationships/worksheet" Target="/xl/worksheets/sheet5.xml" Id="R044f6ac60bed4858" /><Relationship Type="http://schemas.openxmlformats.org/officeDocument/2006/relationships/worksheet" Target="/xl/worksheets/sheet6.xml" Id="Rf44e751ad86c44a4" /><Relationship Type="http://schemas.openxmlformats.org/officeDocument/2006/relationships/worksheet" Target="/xl/worksheets/sheet7.xml" Id="R3be83730969d4f0f" /><Relationship Type="http://schemas.openxmlformats.org/officeDocument/2006/relationships/worksheet" Target="/xl/worksheets/sheet8.xml" Id="R99d3d5d8f2304f48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42" hidden="0" customWidth="1"/>
    <x:col min="3" max="3" width="22" hidden="0" customWidth="1"/>
    <x:col min="4" max="4" width="42" hidden="0" customWidth="1"/>
    <x:col min="5" max="5" width="22" hidden="0" customWidth="1"/>
    <x:col min="6" max="6" width="42" hidden="0" customWidth="1"/>
    <x:col min="7" max="7" width="22" hidden="0" customWidth="1"/>
    <x:col min="8" max="8" width="48" hidden="0" customWidth="1"/>
  </x:cols>
  <x:sheetData>
    <x:row r="1" ht="32" customHeight="1">
      <x:c r="A1" s="3" t="str">
        <x:v>Week 9 · Stage 5D 学术—商业价值整合</x:v>
      </x:c>
      <x:c r="B1" s="3"/>
      <x:c r="C1" s="3"/>
      <x:c r="D1" s="3"/>
      <x:c r="E1" s="3"/>
      <x:c r="F1" s="3"/>
      <x:c r="G1" s="3"/>
      <x:c r="H1" s="3"/>
    </x:row>
    <x:row r="2" ht="44" customHeight="1">
      <x:c r="A2" s="7" t="str">
        <x:v>合并Stage5B/5C的变量处置，形成组合包、替代规则与代表性公司选择标准；本阶段不对公司打分或排名。</x:v>
      </x:c>
      <x:c r="B2" s="7"/>
      <x:c r="C2" s="7"/>
      <x:c r="D2" s="7"/>
      <x:c r="E2" s="7"/>
      <x:c r="F2" s="7"/>
      <x:c r="G2" s="7"/>
      <x:c r="H2" s="7"/>
    </x:row>
    <x:row r="3">
      <x:c r="A3" s="11"/>
      <x:c r="B3" s="11"/>
      <x:c r="C3" s="11"/>
      <x:c r="D3" s="11"/>
      <x:c r="E3" s="11"/>
      <x:c r="F3" s="11"/>
      <x:c r="G3" s="11"/>
      <x:c r="H3" s="11"/>
    </x:row>
    <x:row r="4" ht="24" customHeight="1">
      <x:c r="A4" s="9" t="str">
        <x:v>输入—处理—输出—验收</x:v>
      </x:c>
      <x:c r="B4" s="9"/>
      <x:c r="C4" s="9"/>
      <x:c r="D4" s="9"/>
      <x:c r="E4" s="9"/>
      <x:c r="F4" s="9"/>
      <x:c r="G4" s="9"/>
      <x:c r="H4" s="9"/>
    </x:row>
    <x:row r="5" ht="58" customHeight="1">
      <x:c r="A5" s="22" t="str">
        <x:v>输入</x:v>
      </x:c>
      <x:c r="B5" s="17" t="str">
        <x:v>Stage5B学术初筛+Stage5C商业初筛</x:v>
      </x:c>
      <x:c r="C5" s="22" t="str">
        <x:v>Stage5B SHA</x:v>
      </x:c>
      <x:c r="D5" s="17" t="str">
        <x:v>8049fcbc87bafa72a63a905a49e5935369bde706864e22172a166ba0389491f6</x:v>
      </x:c>
      <x:c r="E5" s="22" t="str">
        <x:v>Stage5C SHA</x:v>
      </x:c>
      <x:c r="F5" s="17" t="str">
        <x:v>0ab22a82f24d924ec440201c458585dc12d11242718ebd47ef2fe10777be4a01</x:v>
      </x:c>
      <x:c r="G5" s="22" t="str">
        <x:v>变量</x:v>
      </x:c>
      <x:c r="H5" s="17" t="n">
        <x:v>32</x:v>
      </x:c>
    </x:row>
    <x:row r="6" ht="58" customHeight="1">
      <x:c r="A6" s="22" t="str">
        <x:v>处理</x:v>
      </x:c>
      <x:c r="B6" s="17" t="str">
        <x:v>并列保留两类评分；按处置交叉分层；处理替代和依赖关系</x:v>
      </x:c>
      <x:c r="C6" s="22" t="str">
        <x:v>不采用</x:v>
      </x:c>
      <x:c r="D6" s="17" t="str">
        <x:v>学术+商业单一总分</x:v>
      </x:c>
      <x:c r="E6" s="22" t="str">
        <x:v>样本公司</x:v>
      </x:c>
      <x:c r="F6" s="17" t="n">
        <x:v>8</x:v>
      </x:c>
      <x:c r="G6" s="22" t="str">
        <x:v>基础数据修改</x:v>
      </x:c>
      <x:c r="H6" s="18" t="b">
        <x:v>0</x:v>
      </x:c>
    </x:row>
    <x:row r="7" ht="58" customHeight="1">
      <x:c r="A7" s="22" t="str">
        <x:v>输出</x:v>
      </x:c>
      <x:c r="B7" s="17" t="str">
        <x:v>8类整合层级、7个变量包、8组冗余决策、选择轴与闸门</x:v>
      </x:c>
      <x:c r="C7" s="22" t="str">
        <x:v>选择轴</x:v>
      </x:c>
      <x:c r="D7" s="17" t="n">
        <x:v>6</x:v>
      </x:c>
      <x:c r="E7" s="22" t="str">
        <x:v>进入闸门</x:v>
      </x:c>
      <x:c r="F7" s="17" t="n">
        <x:v>4</x:v>
      </x:c>
      <x:c r="G7" s="22" t="str">
        <x:v>组合约束</x:v>
      </x:c>
      <x:c r="H7" s="17" t="n">
        <x:v>4</x:v>
      </x:c>
    </x:row>
    <x:row r="8" ht="58" customHeight="1">
      <x:c r="A8" s="23" t="str">
        <x:v>验收</x:v>
      </x:c>
      <x:c r="B8" s="19" t="str">
        <x:v>输入哈希、变量闭合、层级计数、框架结构与公式错误检查</x:v>
      </x:c>
      <x:c r="C8" s="23" t="str">
        <x:v>检查项</x:v>
      </x:c>
      <x:c r="D8" s="19" t="n">
        <x:v>30</x:v>
      </x:c>
      <x:c r="E8" s="23" t="str">
        <x:v>公司打分</x:v>
      </x:c>
      <x:c r="F8" s="19" t="n">
        <x:v>0</x:v>
      </x:c>
      <x:c r="G8" s="23" t="str">
        <x:v>冻结标记</x:v>
      </x:c>
      <x:c r="H8" s="19" t="str">
        <x:v>FROZEN_STAGE5D</x:v>
      </x:c>
    </x:row>
    <x:row r="9">
      <x:c r="A9" s="11"/>
      <x:c r="B9" s="11"/>
      <x:c r="C9" s="11"/>
      <x:c r="D9" s="11"/>
      <x:c r="E9" s="11"/>
      <x:c r="F9" s="11"/>
      <x:c r="G9" s="11"/>
      <x:c r="H9" s="11"/>
    </x:row>
    <x:row r="10" ht="24" customHeight="1">
      <x:c r="A10" s="9" t="str">
        <x:v>为什么不合并为单一总分</x:v>
      </x:c>
      <x:c r="B10" s="9"/>
      <x:c r="C10" s="9"/>
      <x:c r="D10" s="9"/>
      <x:c r="E10" s="9"/>
      <x:c r="F10" s="9"/>
      <x:c r="G10" s="9"/>
      <x:c r="H10" s="9"/>
    </x:row>
    <x:row r="11" ht="58" customHeight="1">
      <x:c r="A11" s="30" t="str">
        <x:v>1</x:v>
      </x:c>
      <x:c r="B11" s="24" t="str">
        <x:v>评价对象不同</x:v>
      </x:c>
      <x:c r="C11" s="24"/>
      <x:c r="D11" s="24" t="str">
        <x:v>学术分衡量构念、信息量和解释潜力；商业分衡量画像、尽调和运营可用性。</x:v>
      </x:c>
      <x:c r="E11" s="24"/>
      <x:c r="F11" s="24"/>
      <x:c r="G11" s="24"/>
      <x:c r="H11" s="24"/>
    </x:row>
    <x:row r="12" ht="58" customHeight="1">
      <x:c r="A12" s="30" t="str">
        <x:v>2</x:v>
      </x:c>
      <x:c r="B12" s="24" t="str">
        <x:v>代偿不合理</x:v>
      </x:c>
      <x:c r="C12" s="24"/>
      <x:c r="D12" s="24" t="str">
        <x:v>商业可用性不能补偿测量不可靠，学术意义也不能补偿实施成本和误读风险。</x:v>
      </x:c>
      <x:c r="E12" s="24"/>
      <x:c r="F12" s="24"/>
      <x:c r="G12" s="24"/>
      <x:c r="H12" s="24"/>
    </x:row>
    <x:row r="13" ht="58" customHeight="1">
      <x:c r="A13" s="30" t="str">
        <x:v>3</x:v>
      </x:c>
      <x:c r="B13" s="24" t="str">
        <x:v>小样本防伪精确</x:v>
      </x:c>
      <x:c r="C13" s="24"/>
      <x:c r="D13" s="24" t="str">
        <x:v>n=8时汇总分会制造精确排名错觉，因此采用层级、闸门和组合互补性。</x:v>
      </x:c>
      <x:c r="E13" s="24"/>
      <x:c r="F13" s="24"/>
      <x:c r="G13" s="24"/>
      <x:c r="H13" s="24"/>
    </x:row>
    <x:row r="14" ht="58" customHeight="1">
      <x:c r="A14" s="31" t="str">
        <x:v>4</x:v>
      </x:c>
      <x:c r="B14" s="25" t="str">
        <x:v>可追溯性</x:v>
      </x:c>
      <x:c r="C14" s="25"/>
      <x:c r="D14" s="25" t="str">
        <x:v>保留两套原评分与处置，整合层级只表示使用角色，不代表变量质量的绝对顺序。</x:v>
      </x:c>
      <x:c r="E14" s="25"/>
      <x:c r="F14" s="25"/>
      <x:c r="G14" s="25"/>
      <x:c r="H14" s="25"/>
    </x:row>
    <x:row r="15">
      <x:c r="A15" s="11"/>
      <x:c r="B15" s="11"/>
      <x:c r="C15" s="11"/>
      <x:c r="D15" s="11"/>
      <x:c r="E15" s="11"/>
      <x:c r="F15" s="11"/>
      <x:c r="G15" s="11"/>
      <x:c r="H15" s="11"/>
    </x:row>
    <x:row r="16" ht="24" customHeight="1">
      <x:c r="A16" s="9" t="str">
        <x:v>数据层图例与边界</x:v>
      </x:c>
      <x:c r="B16" s="9"/>
      <x:c r="C16" s="9"/>
      <x:c r="D16" s="9"/>
      <x:c r="E16" s="9"/>
      <x:c r="F16" s="9"/>
      <x:c r="G16" s="9"/>
      <x:c r="H16" s="9"/>
    </x:row>
    <x:row r="17" ht="54" customHeight="1">
      <x:c r="A17" s="24" t="str">
        <x:v>绿色文字</x:v>
      </x:c>
      <x:c r="B17" s="32" t="str">
        <x:v>从Stage5B/5C冻结工作簿导入的评分与处置</x:v>
      </x:c>
      <x:c r="C17" s="32"/>
      <x:c r="D17" s="32"/>
      <x:c r="E17" s="33" t="str">
        <x:v>黑色公式</x:v>
      </x:c>
      <x:c r="F17" s="33" t="str">
        <x:v>整合层级和验收计算</x:v>
      </x:c>
      <x:c r="G17" s="33"/>
      <x:c r="H17" s="33"/>
    </x:row>
    <x:row r="18" ht="54" customHeight="1">
      <x:c r="A18" s="34" t="str">
        <x:v>紫色标记</x:v>
      </x:c>
      <x:c r="B18" s="34" t="str">
        <x:v>Stage5D研究判断：组合、角色、替代和选择规则</x:v>
      </x:c>
      <x:c r="C18" s="34"/>
      <x:c r="D18" s="34"/>
      <x:c r="E18" s="24" t="str">
        <x:v>原文/标准化值</x:v>
      </x:c>
      <x:c r="F18" s="24" t="str">
        <x:v>本阶段不新增、不修改</x:v>
      </x:c>
      <x:c r="G18" s="24"/>
      <x:c r="H18" s="24"/>
    </x:row>
    <x:row r="19" ht="54" customHeight="1">
      <x:c r="A19" s="24" t="str">
        <x:v>null</x:v>
      </x:c>
      <x:c r="B19" s="24" t="str">
        <x:v>未知或理论适用但不可计算；不得替换为0</x:v>
      </x:c>
      <x:c r="C19" s="24"/>
      <x:c r="D19" s="24"/>
      <x:c r="E19" s="24" t="str">
        <x:v>STRUCTURAL_NA</x:v>
      </x:c>
      <x:c r="F19" s="24" t="str">
        <x:v>结构上不适用；与0、null分别保留</x:v>
      </x:c>
      <x:c r="G19" s="24"/>
      <x:c r="H19" s="24"/>
    </x:row>
    <x:row r="20" ht="54" customHeight="1">
      <x:c r="A20" s="25" t="str">
        <x:v>解释边界</x:v>
      </x:c>
      <x:c r="B20" s="25" t="str">
        <x:v>仅做描述、变量筛选与案例设计</x:v>
      </x:c>
      <x:c r="C20" s="25"/>
      <x:c r="D20" s="25"/>
      <x:c r="E20" s="25" t="str">
        <x:v>禁止</x:v>
      </x:c>
      <x:c r="F20" s="25" t="str">
        <x:v>因果推断、显著性推断、公司优劣或投资排名</x:v>
      </x:c>
      <x:c r="G20" s="25"/>
      <x:c r="H20" s="25"/>
    </x:row>
  </x:sheetData>
  <x:mergeCells>
    <x:mergeCell ref="A1:H1"/>
    <x:mergeCell ref="A2:H2"/>
    <x:mergeCell ref="A4:H4"/>
    <x:mergeCell ref="A10:H10"/>
    <x:mergeCell ref="B11:C11"/>
    <x:mergeCell ref="D11:H11"/>
    <x:mergeCell ref="B12:C12"/>
    <x:mergeCell ref="D12:H12"/>
    <x:mergeCell ref="B13:C13"/>
    <x:mergeCell ref="D13:H13"/>
    <x:mergeCell ref="B14:C14"/>
    <x:mergeCell ref="D14:H14"/>
    <x:mergeCell ref="A16:H16"/>
    <x:mergeCell ref="B17:D17"/>
    <x:mergeCell ref="F17:H17"/>
    <x:mergeCell ref="B18:D18"/>
    <x:mergeCell ref="F18:H18"/>
    <x:mergeCell ref="B19:D19"/>
    <x:mergeCell ref="F19:H19"/>
    <x:mergeCell ref="B20:D20"/>
    <x:mergeCell ref="F20:H20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38" hidden="0" customWidth="1"/>
    <x:col min="3" max="3" width="25" hidden="0" customWidth="1"/>
    <x:col min="4" max="4" width="28" hidden="0" customWidth="1"/>
    <x:col min="5" max="5" width="12" hidden="0" customWidth="1"/>
    <x:col min="6" max="6" width="22" hidden="0" customWidth="1"/>
    <x:col min="7" max="7" width="12" hidden="0" customWidth="1"/>
    <x:col min="8" max="8" width="24" hidden="0" customWidth="1"/>
    <x:col min="9" max="9" width="22" hidden="0" customWidth="1"/>
    <x:col min="10" max="10" width="30" hidden="0" customWidth="1"/>
    <x:col min="11" max="11" width="26" hidden="0" customWidth="1"/>
    <x:col min="12" max="12" width="28" hidden="0" customWidth="1"/>
    <x:col min="13" max="13" width="48" hidden="0" customWidth="1"/>
    <x:col min="14" max="14" width="62" hidden="0" customWidth="1"/>
    <x:col min="15" max="15" width="18" hidden="0" customWidth="1"/>
    <x:col min="16" max="16" width="18" hidden="0" customWidth="1"/>
    <x:col min="17" max="17" width="18" hidden="0" customWidth="1"/>
  </x:cols>
  <x:sheetData>
    <x:row r="1" ht="32" customHeight="1">
      <x:c r="A1" s="3" t="str">
        <x:v>32项变量整合地图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</x:row>
    <x:row r="2" ht="44" customHeight="1">
      <x:c r="A2" s="7" t="str">
        <x:v>E—H为冻结输入；I为公式整合层级；J—Q为Stage5D研究判断。两套分数不相加。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  <x:c r="O2" s="7"/>
      <x:c r="P2" s="7"/>
      <x:c r="Q2" s="7"/>
    </x:row>
    <x:row r="3">
      <x:c r="A3" s="11"/>
      <x:c r="B3" s="11"/>
      <x:c r="C3" s="11"/>
      <x:c r="D3" s="11"/>
      <x:c r="E3" s="11"/>
      <x:c r="F3" s="11"/>
      <x:c r="G3" s="11"/>
      <x:c r="H3" s="11"/>
      <x:c r="I3" s="11"/>
      <x:c r="J3" s="11"/>
      <x:c r="K3" s="11"/>
      <x:c r="L3" s="11"/>
      <x:c r="M3" s="11"/>
      <x:c r="N3" s="11"/>
      <x:c r="O3" s="11"/>
      <x:c r="P3" s="11"/>
      <x:c r="Q3" s="11"/>
    </x:row>
    <x:row r="4" ht="32" customHeight="1">
      <x:c r="A4" s="46" t="str">
        <x:v>变量ID</x:v>
      </x:c>
      <x:c r="B4" s="47" t="str">
        <x:v>变量名称</x:v>
      </x:c>
      <x:c r="C4" s="47" t="str">
        <x:v>构念</x:v>
      </x:c>
      <x:c r="D4" s="47" t="str">
        <x:v>Stage5路线</x:v>
      </x:c>
      <x:c r="E4" s="47" t="str">
        <x:v>学术总分</x:v>
      </x:c>
      <x:c r="F4" s="47" t="str">
        <x:v>学术处置</x:v>
      </x:c>
      <x:c r="G4" s="47" t="str">
        <x:v>商业总分</x:v>
      </x:c>
      <x:c r="H4" s="47" t="str">
        <x:v>商业处置</x:v>
      </x:c>
      <x:c r="I4" s="47" t="str">
        <x:v>整合层级</x:v>
      </x:c>
      <x:c r="J4" s="47" t="str">
        <x:v>整合角色</x:v>
      </x:c>
      <x:c r="K4" s="47" t="str">
        <x:v>变量组合包</x:v>
      </x:c>
      <x:c r="L4" s="47" t="str">
        <x:v>主/替代状态</x:v>
      </x:c>
      <x:c r="M4" s="47" t="str">
        <x:v>强制伴随项</x:v>
      </x:c>
      <x:c r="N4" s="47" t="str">
        <x:v>解释边界</x:v>
      </x:c>
      <x:c r="O4" s="47" t="str">
        <x:v>学术来源层</x:v>
      </x:c>
      <x:c r="P4" s="47" t="str">
        <x:v>商业来源层</x:v>
      </x:c>
      <x:c r="Q4" s="48" t="str">
        <x:v>整合判断层</x:v>
      </x:c>
    </x:row>
    <x:row r="5" ht="88" customHeight="1">
      <x:c r="A5" s="53" t="str">
        <x:v>CV001</x:v>
      </x:c>
      <x:c r="B5" s="53" t="str">
        <x:v>上市前直接股权融资发生标记</x:v>
      </x:c>
      <x:c r="C5" s="53" t="str">
        <x:v>融资经历</x:v>
      </x:c>
      <x:c r="D5" s="53" t="str">
        <x:v>CROSS_SECTIONAL_DESCRIPTIVE</x:v>
      </x:c>
      <x:c r="E5" s="55" t="n">
        <x:v>9</x:v>
      </x:c>
      <x:c r="F5" s="55" t="str">
        <x:v>探索候选</x:v>
      </x:c>
      <x:c r="G5" s="55" t="n">
        <x:v>10</x:v>
      </x:c>
      <x:c r="H5" s="55" t="str">
        <x:v>核心应用</x:v>
      </x:c>
      <x:c r="I5" s="53" t="str">
        <x:f>IF(OR(F5="暂缓",H5="暂缓"),"DEFER",IF(OR(F5="质量伴随",H5="质量/风险控制"),"QUALITY_GATE",IF(OR(F5="案例命题",H5="案例应用"),"CASE",IF(OR(F5="条件描述候选",H5="条件应用"),"CONDITIONAL",IF(AND(F5="优先候选",H5="核心应用"),"DUAL_CORE",IF(F5="优先候选","RESEARCH_CORE",IF(H5="核心应用","COMMERCIAL_CORE","DUAL_SUPPORT")))))))</x:f>
        <x:v>COMMERCIAL_CORE</x:v>
      </x:c>
      <x:c r="J5" s="53" t="str">
        <x:f>IF(I5="DUAL_CORE","后续选择主轴核心",IF(I5="RESEARCH_CORE","研究问题核心；商业辅助",IF(I5="COMMERCIAL_CORE","画像入口；不单独理论解释",IF(I5="DUAL_SUPPORT","替代或补充解释",IF(I5="CONDITIONAL","条件样本描述",IF(I5="CASE","案例路径变量",IF(I5="QUALITY_GATE","强制质量闸门","保留定义；暂缓使用")))))))</x:f>
        <x:v>画像入口；不单独理论解释</x:v>
      </x:c>
      <x:c r="K5" s="59" t="str">
        <x:v>B01 融资强度与规模</x:v>
      </x:c>
      <x:c r="L5" s="59" t="str">
        <x:v>保留为主变量或独立维度</x:v>
      </x:c>
      <x:c r="M5" s="59" t="str">
        <x:v>CV032与公司披露限制</x:v>
      </x:c>
      <x:c r="N5" s="59" t="str">
        <x:v>仅用于八家公司描述和案例选择，不做因果、显著性或优劣判断。</x:v>
      </x:c>
      <x:c r="O5" s="59" t="str">
        <x:v>Stage5B导入</x:v>
      </x:c>
      <x:c r="P5" s="59" t="str">
        <x:v>Stage5C导入</x:v>
      </x:c>
      <x:c r="Q5" s="59" t="str">
        <x:v>研究判断</x:v>
      </x:c>
    </x:row>
    <x:row r="6" ht="88" customHeight="1">
      <x:c r="A6" s="53" t="str">
        <x:v>CV002</x:v>
      </x:c>
      <x:c r="B6" s="53" t="str">
        <x:v>上市前直接股权融资轮数</x:v>
      </x:c>
      <x:c r="C6" s="53" t="str">
        <x:v>融资频度</x:v>
      </x:c>
      <x:c r="D6" s="53" t="str">
        <x:v>CROSS_SECTIONAL_DESCRIPTIVE</x:v>
      </x:c>
      <x:c r="E6" s="55" t="n">
        <x:v>11</x:v>
      </x:c>
      <x:c r="F6" s="55" t="str">
        <x:v>优先候选</x:v>
      </x:c>
      <x:c r="G6" s="55" t="n">
        <x:v>10</x:v>
      </x:c>
      <x:c r="H6" s="55" t="str">
        <x:v>核心应用</x:v>
      </x:c>
      <x:c r="I6" s="53" t="str">
        <x:f>IF(OR(F6="暂缓",H6="暂缓"),"DEFER",IF(OR(F6="质量伴随",H6="质量/风险控制"),"QUALITY_GATE",IF(OR(F6="案例命题",H6="案例应用"),"CASE",IF(OR(F6="条件描述候选",H6="条件应用"),"CONDITIONAL",IF(AND(F6="优先候选",H6="核心应用"),"DUAL_CORE",IF(F6="优先候选","RESEARCH_CORE",IF(H6="核心应用","COMMERCIAL_CORE","DUAL_SUPPORT")))))))</x:f>
        <x:v>DUAL_CORE</x:v>
      </x:c>
      <x:c r="J6" s="53" t="str">
        <x:f>IF(I6="DUAL_CORE","后续选择主轴核心",IF(I6="RESEARCH_CORE","研究问题核心；商业辅助",IF(I6="COMMERCIAL_CORE","画像入口；不单独理论解释",IF(I6="DUAL_SUPPORT","替代或补充解释",IF(I6="CONDITIONAL","条件样本描述",IF(I6="CASE","案例路径变量",IF(I6="QUALITY_GATE","强制质量闸门","保留定义；暂缓使用")))))))</x:f>
        <x:v>后续选择主轴核心</x:v>
      </x:c>
      <x:c r="K6" s="59" t="str">
        <x:v>B01 融资强度与规模</x:v>
      </x:c>
      <x:c r="L6" s="59" t="str">
        <x:v>保留为主变量或独立维度</x:v>
      </x:c>
      <x:c r="M6" s="59" t="str">
        <x:v>CV032与公司披露限制</x:v>
      </x:c>
      <x:c r="N6" s="59" t="str">
        <x:v>仅用于八家公司描述和案例选择，不做因果、显著性或优劣判断。</x:v>
      </x:c>
      <x:c r="O6" s="59" t="str">
        <x:v>Stage5B导入</x:v>
      </x:c>
      <x:c r="P6" s="59" t="str">
        <x:v>Stage5C导入</x:v>
      </x:c>
      <x:c r="Q6" s="59" t="str">
        <x:v>研究判断</x:v>
      </x:c>
    </x:row>
    <x:row r="7" ht="88" customHeight="1">
      <x:c r="A7" s="53" t="str">
        <x:v>CV003</x:v>
      </x:c>
      <x:c r="B7" s="53" t="str">
        <x:v>可核验融资金额下限</x:v>
      </x:c>
      <x:c r="C7" s="53" t="str">
        <x:v>融资规模</x:v>
      </x:c>
      <x:c r="D7" s="53" t="str">
        <x:v>CROSS_SECTIONAL_DESCRIPTIVE</x:v>
      </x:c>
      <x:c r="E7" s="55" t="n">
        <x:v>11</x:v>
      </x:c>
      <x:c r="F7" s="55" t="str">
        <x:v>优先候选</x:v>
      </x:c>
      <x:c r="G7" s="55" t="n">
        <x:v>8</x:v>
      </x:c>
      <x:c r="H7" s="55" t="str">
        <x:v>辅助应用</x:v>
      </x:c>
      <x:c r="I7" s="53" t="str">
        <x:f>IF(OR(F7="暂缓",H7="暂缓"),"DEFER",IF(OR(F7="质量伴随",H7="质量/风险控制"),"QUALITY_GATE",IF(OR(F7="案例命题",H7="案例应用"),"CASE",IF(OR(F7="条件描述候选",H7="条件应用"),"CONDITIONAL",IF(AND(F7="优先候选",H7="核心应用"),"DUAL_CORE",IF(F7="优先候选","RESEARCH_CORE",IF(H7="核心应用","COMMERCIAL_CORE","DUAL_SUPPORT")))))))</x:f>
        <x:v>RESEARCH_CORE</x:v>
      </x:c>
      <x:c r="J7" s="53" t="str">
        <x:f>IF(I7="DUAL_CORE","后续选择主轴核心",IF(I7="RESEARCH_CORE","研究问题核心；商业辅助",IF(I7="COMMERCIAL_CORE","画像入口；不单独理论解释",IF(I7="DUAL_SUPPORT","替代或补充解释",IF(I7="CONDITIONAL","条件样本描述",IF(I7="CASE","案例路径变量",IF(I7="QUALITY_GATE","强制质量闸门","保留定义；暂缓使用")))))))</x:f>
        <x:v>研究问题核心；商业辅助</x:v>
      </x:c>
      <x:c r="K7" s="59" t="str">
        <x:v>B01 融资强度与规模</x:v>
      </x:c>
      <x:c r="L7" s="59" t="str">
        <x:v>保留为主变量或独立维度</x:v>
      </x:c>
      <x:c r="M7" s="59" t="str">
        <x:v>融资金额状态、CV028、CV030、CV032</x:v>
      </x:c>
      <x:c r="N7" s="59" t="str">
        <x:v>金额均基于可核验下限或已知金额轮次；不得解释为真实累计融资。</x:v>
      </x:c>
      <x:c r="O7" s="59" t="str">
        <x:v>Stage5B导入</x:v>
      </x:c>
      <x:c r="P7" s="59" t="str">
        <x:v>Stage5C导入</x:v>
      </x:c>
      <x:c r="Q7" s="59" t="str">
        <x:v>研究判断</x:v>
      </x:c>
    </x:row>
    <x:row r="8" ht="88" customHeight="1">
      <x:c r="A8" s="53" t="str">
        <x:v>CV004</x:v>
      </x:c>
      <x:c r="B8" s="53" t="str">
        <x:v>融资金额下限对数</x:v>
      </x:c>
      <x:c r="C8" s="53" t="str">
        <x:v>融资规模</x:v>
      </x:c>
      <x:c r="D8" s="53" t="str">
        <x:v>CROSS_SECTIONAL_DESCRIPTIVE</x:v>
      </x:c>
      <x:c r="E8" s="55" t="n">
        <x:v>9</x:v>
      </x:c>
      <x:c r="F8" s="55" t="str">
        <x:v>探索候选</x:v>
      </x:c>
      <x:c r="G8" s="55" t="n">
        <x:v>6</x:v>
      </x:c>
      <x:c r="H8" s="55" t="str">
        <x:v>辅助应用</x:v>
      </x:c>
      <x:c r="I8" s="53" t="str">
        <x:f>IF(OR(F8="暂缓",H8="暂缓"),"DEFER",IF(OR(F8="质量伴随",H8="质量/风险控制"),"QUALITY_GATE",IF(OR(F8="案例命题",H8="案例应用"),"CASE",IF(OR(F8="条件描述候选",H8="条件应用"),"CONDITIONAL",IF(AND(F8="优先候选",H8="核心应用"),"DUAL_CORE",IF(F8="优先候选","RESEARCH_CORE",IF(H8="核心应用","COMMERCIAL_CORE","DUAL_SUPPORT")))))))</x:f>
        <x:v>DUAL_SUPPORT</x:v>
      </x:c>
      <x:c r="J8" s="53" t="str">
        <x:f>IF(I8="DUAL_CORE","后续选择主轴核心",IF(I8="RESEARCH_CORE","研究问题核心；商业辅助",IF(I8="COMMERCIAL_CORE","画像入口；不单独理论解释",IF(I8="DUAL_SUPPORT","替代或补充解释",IF(I8="CONDITIONAL","条件样本描述",IF(I8="CASE","案例路径变量",IF(I8="QUALITY_GATE","强制质量闸门","保留定义；暂缓使用")))))))</x:f>
        <x:v>替代或补充解释</x:v>
      </x:c>
      <x:c r="K8" s="59" t="str">
        <x:v>B01 融资强度与规模</x:v>
      </x:c>
      <x:c r="L8" s="59" t="str">
        <x:v>替代/敏感性变量</x:v>
      </x:c>
      <x:c r="M8" s="59" t="str">
        <x:v>融资金额状态、CV028、CV030、CV032</x:v>
      </x:c>
      <x:c r="N8" s="59" t="str">
        <x:v>金额均基于可核验下限或已知金额轮次；不得解释为真实累计融资。</x:v>
      </x:c>
      <x:c r="O8" s="59" t="str">
        <x:v>Stage5B导入</x:v>
      </x:c>
      <x:c r="P8" s="59" t="str">
        <x:v>Stage5C导入</x:v>
      </x:c>
      <x:c r="Q8" s="59" t="str">
        <x:v>研究判断</x:v>
      </x:c>
    </x:row>
    <x:row r="9" ht="88" customHeight="1">
      <x:c r="A9" s="53" t="str">
        <x:v>CV005</x:v>
      </x:c>
      <x:c r="B9" s="53" t="str">
        <x:v>已知金额轮次均值</x:v>
      </x:c>
      <x:c r="C9" s="53" t="str">
        <x:v>单轮融资规模</x:v>
      </x:c>
      <x:c r="D9" s="53" t="str">
        <x:v>CROSS_SECTIONAL_DESCRIPTIVE</x:v>
      </x:c>
      <x:c r="E9" s="55" t="n">
        <x:v>11</x:v>
      </x:c>
      <x:c r="F9" s="55" t="str">
        <x:v>优先候选</x:v>
      </x:c>
      <x:c r="G9" s="55" t="n">
        <x:v>9</x:v>
      </x:c>
      <x:c r="H9" s="55" t="str">
        <x:v>辅助应用</x:v>
      </x:c>
      <x:c r="I9" s="53" t="str">
        <x:f>IF(OR(F9="暂缓",H9="暂缓"),"DEFER",IF(OR(F9="质量伴随",H9="质量/风险控制"),"QUALITY_GATE",IF(OR(F9="案例命题",H9="案例应用"),"CASE",IF(OR(F9="条件描述候选",H9="条件应用"),"CONDITIONAL",IF(AND(F9="优先候选",H9="核心应用"),"DUAL_CORE",IF(F9="优先候选","RESEARCH_CORE",IF(H9="核心应用","COMMERCIAL_CORE","DUAL_SUPPORT")))))))</x:f>
        <x:v>RESEARCH_CORE</x:v>
      </x:c>
      <x:c r="J9" s="53" t="str">
        <x:f>IF(I9="DUAL_CORE","后续选择主轴核心",IF(I9="RESEARCH_CORE","研究问题核心；商业辅助",IF(I9="COMMERCIAL_CORE","画像入口；不单独理论解释",IF(I9="DUAL_SUPPORT","替代或补充解释",IF(I9="CONDITIONAL","条件样本描述",IF(I9="CASE","案例路径变量",IF(I9="QUALITY_GATE","强制质量闸门","保留定义；暂缓使用")))))))</x:f>
        <x:v>研究问题核心；商业辅助</x:v>
      </x:c>
      <x:c r="K9" s="59" t="str">
        <x:v>B01 融资强度与规模</x:v>
      </x:c>
      <x:c r="L9" s="59" t="str">
        <x:v>保留为主变量或独立维度</x:v>
      </x:c>
      <x:c r="M9" s="59" t="str">
        <x:v>CV027、CV028；必要时CV030</x:v>
      </x:c>
      <x:c r="N9" s="59" t="str">
        <x:v>金额均基于可核验下限或已知金额轮次；不得解释为真实累计融资。</x:v>
      </x:c>
      <x:c r="O9" s="59" t="str">
        <x:v>Stage5B导入</x:v>
      </x:c>
      <x:c r="P9" s="59" t="str">
        <x:v>Stage5C导入</x:v>
      </x:c>
      <x:c r="Q9" s="59" t="str">
        <x:v>研究判断</x:v>
      </x:c>
    </x:row>
    <x:row r="10" ht="88" customHeight="1">
      <x:c r="A10" s="53" t="str">
        <x:v>CV006</x:v>
      </x:c>
      <x:c r="B10" s="53" t="str">
        <x:v>已知金额轮次中位数</x:v>
      </x:c>
      <x:c r="C10" s="53" t="str">
        <x:v>单轮融资规模</x:v>
      </x:c>
      <x:c r="D10" s="53" t="str">
        <x:v>CROSS_SECTIONAL_DESCRIPTIVE</x:v>
      </x:c>
      <x:c r="E10" s="55" t="n">
        <x:v>9</x:v>
      </x:c>
      <x:c r="F10" s="55" t="str">
        <x:v>探索候选</x:v>
      </x:c>
      <x:c r="G10" s="55" t="n">
        <x:v>7</x:v>
      </x:c>
      <x:c r="H10" s="55" t="str">
        <x:v>辅助应用</x:v>
      </x:c>
      <x:c r="I10" s="53" t="str">
        <x:f>IF(OR(F10="暂缓",H10="暂缓"),"DEFER",IF(OR(F10="质量伴随",H10="质量/风险控制"),"QUALITY_GATE",IF(OR(F10="案例命题",H10="案例应用"),"CASE",IF(OR(F10="条件描述候选",H10="条件应用"),"CONDITIONAL",IF(AND(F10="优先候选",H10="核心应用"),"DUAL_CORE",IF(F10="优先候选","RESEARCH_CORE",IF(H10="核心应用","COMMERCIAL_CORE","DUAL_SUPPORT")))))))</x:f>
        <x:v>DUAL_SUPPORT</x:v>
      </x:c>
      <x:c r="J10" s="53" t="str">
        <x:f>IF(I10="DUAL_CORE","后续选择主轴核心",IF(I10="RESEARCH_CORE","研究问题核心；商业辅助",IF(I10="COMMERCIAL_CORE","画像入口；不单独理论解释",IF(I10="DUAL_SUPPORT","替代或补充解释",IF(I10="CONDITIONAL","条件样本描述",IF(I10="CASE","案例路径变量",IF(I10="QUALITY_GATE","强制质量闸门","保留定义；暂缓使用")))))))</x:f>
        <x:v>替代或补充解释</x:v>
      </x:c>
      <x:c r="K10" s="59" t="str">
        <x:v>B01 融资强度与规模</x:v>
      </x:c>
      <x:c r="L10" s="59" t="str">
        <x:v>替代/敏感性变量</x:v>
      </x:c>
      <x:c r="M10" s="59" t="str">
        <x:v>CV027、CV028；必要时CV030</x:v>
      </x:c>
      <x:c r="N10" s="59" t="str">
        <x:v>金额均基于可核验下限或已知金额轮次；不得解释为真实累计融资。</x:v>
      </x:c>
      <x:c r="O10" s="59" t="str">
        <x:v>Stage5B导入</x:v>
      </x:c>
      <x:c r="P10" s="59" t="str">
        <x:v>Stage5C导入</x:v>
      </x:c>
      <x:c r="Q10" s="59" t="str">
        <x:v>研究判断</x:v>
      </x:c>
    </x:row>
    <x:row r="11" ht="88" customHeight="1">
      <x:c r="A11" s="53" t="str">
        <x:v>CV007</x:v>
      </x:c>
      <x:c r="B11" s="53" t="str">
        <x:v>最大已知单轮融资金额</x:v>
      </x:c>
      <x:c r="C11" s="53" t="str">
        <x:v>融资峰值</x:v>
      </x:c>
      <x:c r="D11" s="53" t="str">
        <x:v>CROSS_SECTIONAL_DESCRIPTIVE</x:v>
      </x:c>
      <x:c r="E11" s="55" t="n">
        <x:v>11</x:v>
      </x:c>
      <x:c r="F11" s="55" t="str">
        <x:v>优先候选</x:v>
      </x:c>
      <x:c r="G11" s="55" t="n">
        <x:v>9</x:v>
      </x:c>
      <x:c r="H11" s="55" t="str">
        <x:v>辅助应用</x:v>
      </x:c>
      <x:c r="I11" s="53" t="str">
        <x:f>IF(OR(F11="暂缓",H11="暂缓"),"DEFER",IF(OR(F11="质量伴随",H11="质量/风险控制"),"QUALITY_GATE",IF(OR(F11="案例命题",H11="案例应用"),"CASE",IF(OR(F11="条件描述候选",H11="条件应用"),"CONDITIONAL",IF(AND(F11="优先候选",H11="核心应用"),"DUAL_CORE",IF(F11="优先候选","RESEARCH_CORE",IF(H11="核心应用","COMMERCIAL_CORE","DUAL_SUPPORT")))))))</x:f>
        <x:v>RESEARCH_CORE</x:v>
      </x:c>
      <x:c r="J11" s="53" t="str">
        <x:f>IF(I11="DUAL_CORE","后续选择主轴核心",IF(I11="RESEARCH_CORE","研究问题核心；商业辅助",IF(I11="COMMERCIAL_CORE","画像入口；不单独理论解释",IF(I11="DUAL_SUPPORT","替代或补充解释",IF(I11="CONDITIONAL","条件样本描述",IF(I11="CASE","案例路径变量",IF(I11="QUALITY_GATE","强制质量闸门","保留定义；暂缓使用")))))))</x:f>
        <x:v>研究问题核心；商业辅助</x:v>
      </x:c>
      <x:c r="K11" s="59" t="str">
        <x:v>B01 融资强度与规模</x:v>
      </x:c>
      <x:c r="L11" s="59" t="str">
        <x:v>保留为主变量或独立维度</x:v>
      </x:c>
      <x:c r="M11" s="59" t="str">
        <x:v>CV027、CV028；必要时CV030</x:v>
      </x:c>
      <x:c r="N11" s="59" t="str">
        <x:v>金额均基于可核验下限或已知金额轮次；不得解释为真实累计融资。</x:v>
      </x:c>
      <x:c r="O11" s="59" t="str">
        <x:v>Stage5B导入</x:v>
      </x:c>
      <x:c r="P11" s="59" t="str">
        <x:v>Stage5C导入</x:v>
      </x:c>
      <x:c r="Q11" s="59" t="str">
        <x:v>研究判断</x:v>
      </x:c>
    </x:row>
    <x:row r="12" ht="88" customHeight="1">
      <x:c r="A12" s="53" t="str">
        <x:v>CV008</x:v>
      </x:c>
      <x:c r="B12" s="53" t="str">
        <x:v>最大已知轮金额占比</x:v>
      </x:c>
      <x:c r="C12" s="53" t="str">
        <x:v>融资集中度</x:v>
      </x:c>
      <x:c r="D12" s="53" t="str">
        <x:v>CROSS_SECTIONAL_DESCRIPTIVE</x:v>
      </x:c>
      <x:c r="E12" s="55" t="n">
        <x:v>11</x:v>
      </x:c>
      <x:c r="F12" s="55" t="str">
        <x:v>优先候选</x:v>
      </x:c>
      <x:c r="G12" s="55" t="n">
        <x:v>8</x:v>
      </x:c>
      <x:c r="H12" s="55" t="str">
        <x:v>辅助应用</x:v>
      </x:c>
      <x:c r="I12" s="53" t="str">
        <x:f>IF(OR(F12="暂缓",H12="暂缓"),"DEFER",IF(OR(F12="质量伴随",H12="质量/风险控制"),"QUALITY_GATE",IF(OR(F12="案例命题",H12="案例应用"),"CASE",IF(OR(F12="条件描述候选",H12="条件应用"),"CONDITIONAL",IF(AND(F12="优先候选",H12="核心应用"),"DUAL_CORE",IF(F12="优先候选","RESEARCH_CORE",IF(H12="核心应用","COMMERCIAL_CORE","DUAL_SUPPORT")))))))</x:f>
        <x:v>RESEARCH_CORE</x:v>
      </x:c>
      <x:c r="J12" s="53" t="str">
        <x:f>IF(I12="DUAL_CORE","后续选择主轴核心",IF(I12="RESEARCH_CORE","研究问题核心；商业辅助",IF(I12="COMMERCIAL_CORE","画像入口；不单独理论解释",IF(I12="DUAL_SUPPORT","替代或补充解释",IF(I12="CONDITIONAL","条件样本描述",IF(I12="CASE","案例路径变量",IF(I12="QUALITY_GATE","强制质量闸门","保留定义；暂缓使用")))))))</x:f>
        <x:v>研究问题核心；商业辅助</x:v>
      </x:c>
      <x:c r="K12" s="59" t="str">
        <x:v>B01 融资强度与规模</x:v>
      </x:c>
      <x:c r="L12" s="59" t="str">
        <x:v>保留为主变量或独立维度</x:v>
      </x:c>
      <x:c r="M12" s="59" t="str">
        <x:v>CV027、CV028；必要时CV030</x:v>
      </x:c>
      <x:c r="N12" s="59" t="str">
        <x:v>金额均基于可核验下限或已知金额轮次；不得解释为真实累计融资。</x:v>
      </x:c>
      <x:c r="O12" s="59" t="str">
        <x:v>Stage5B导入</x:v>
      </x:c>
      <x:c r="P12" s="59" t="str">
        <x:v>Stage5C导入</x:v>
      </x:c>
      <x:c r="Q12" s="59" t="str">
        <x:v>研究判断</x:v>
      </x:c>
    </x:row>
    <x:row r="13" ht="88" customHeight="1">
      <x:c r="A13" s="53" t="str">
        <x:v>CV009</x:v>
      </x:c>
      <x:c r="B13" s="53" t="str">
        <x:v>融资时间跨度</x:v>
      </x:c>
      <x:c r="C13" s="53" t="str">
        <x:v>融资节奏</x:v>
      </x:c>
      <x:c r="D13" s="53" t="str">
        <x:v>CONDITIONAL_DESCRIPTIVE</x:v>
      </x:c>
      <x:c r="E13" s="55" t="n">
        <x:v>11</x:v>
      </x:c>
      <x:c r="F13" s="55" t="str">
        <x:v>条件描述候选</x:v>
      </x:c>
      <x:c r="G13" s="55" t="n">
        <x:v>10</x:v>
      </x:c>
      <x:c r="H13" s="55" t="str">
        <x:v>条件应用</x:v>
      </x:c>
      <x:c r="I13" s="53" t="str">
        <x:f>IF(OR(F13="暂缓",H13="暂缓"),"DEFER",IF(OR(F13="质量伴随",H13="质量/风险控制"),"QUALITY_GATE",IF(OR(F13="案例命题",H13="案例应用"),"CASE",IF(OR(F13="条件描述候选",H13="条件应用"),"CONDITIONAL",IF(AND(F13="优先候选",H13="核心应用"),"DUAL_CORE",IF(F13="优先候选","RESEARCH_CORE",IF(H13="核心应用","COMMERCIAL_CORE","DUAL_SUPPORT")))))))</x:f>
        <x:v>CONDITIONAL</x:v>
      </x:c>
      <x:c r="J13" s="53" t="str">
        <x:f>IF(I13="DUAL_CORE","后续选择主轴核心",IF(I13="RESEARCH_CORE","研究问题核心；商业辅助",IF(I13="COMMERCIAL_CORE","画像入口；不单独理论解释",IF(I13="DUAL_SUPPORT","替代或补充解释",IF(I13="CONDITIONAL","条件样本描述",IF(I13="CASE","案例路径变量",IF(I13="QUALITY_GATE","强制质量闸门","保留定义；暂缓使用")))))))</x:f>
        <x:v>条件样本描述</x:v>
      </x:c>
      <x:c r="K13" s="59" t="str">
        <x:v>B02 融资节奏</x:v>
      </x:c>
      <x:c r="L13" s="59" t="str">
        <x:v>保留为主变量或独立维度</x:v>
      </x:c>
      <x:c r="M13" s="59" t="str">
        <x:v>CV029与条件适用N</x:v>
      </x:c>
      <x:c r="N13" s="59" t="str">
        <x:v>仅在日期条件满足的公司中描述；必须报告条件分母。</x:v>
      </x:c>
      <x:c r="O13" s="59" t="str">
        <x:v>Stage5B导入</x:v>
      </x:c>
      <x:c r="P13" s="59" t="str">
        <x:v>Stage5C导入</x:v>
      </x:c>
      <x:c r="Q13" s="59" t="str">
        <x:v>研究判断</x:v>
      </x:c>
    </x:row>
    <x:row r="14" ht="88" customHeight="1">
      <x:c r="A14" s="53" t="str">
        <x:v>CV010</x:v>
      </x:c>
      <x:c r="B14" s="53" t="str">
        <x:v>融资轮次间隔中位数</x:v>
      </x:c>
      <x:c r="C14" s="53" t="str">
        <x:v>融资节奏</x:v>
      </x:c>
      <x:c r="D14" s="53" t="str">
        <x:v>CONDITIONAL_DESCRIPTIVE</x:v>
      </x:c>
      <x:c r="E14" s="55" t="n">
        <x:v>11</x:v>
      </x:c>
      <x:c r="F14" s="55" t="str">
        <x:v>条件描述候选</x:v>
      </x:c>
      <x:c r="G14" s="55" t="n">
        <x:v>9</x:v>
      </x:c>
      <x:c r="H14" s="55" t="str">
        <x:v>条件应用</x:v>
      </x:c>
      <x:c r="I14" s="53" t="str">
        <x:f>IF(OR(F14="暂缓",H14="暂缓"),"DEFER",IF(OR(F14="质量伴随",H14="质量/风险控制"),"QUALITY_GATE",IF(OR(F14="案例命题",H14="案例应用"),"CASE",IF(OR(F14="条件描述候选",H14="条件应用"),"CONDITIONAL",IF(AND(F14="优先候选",H14="核心应用"),"DUAL_CORE",IF(F14="优先候选","RESEARCH_CORE",IF(H14="核心应用","COMMERCIAL_CORE","DUAL_SUPPORT")))))))</x:f>
        <x:v>CONDITIONAL</x:v>
      </x:c>
      <x:c r="J14" s="53" t="str">
        <x:f>IF(I14="DUAL_CORE","后续选择主轴核心",IF(I14="RESEARCH_CORE","研究问题核心；商业辅助",IF(I14="COMMERCIAL_CORE","画像入口；不单独理论解释",IF(I14="DUAL_SUPPORT","替代或补充解释",IF(I14="CONDITIONAL","条件样本描述",IF(I14="CASE","案例路径变量",IF(I14="QUALITY_GATE","强制质量闸门","保留定义；暂缓使用")))))))</x:f>
        <x:v>条件样本描述</x:v>
      </x:c>
      <x:c r="K14" s="59" t="str">
        <x:v>B02 融资节奏</x:v>
      </x:c>
      <x:c r="L14" s="59" t="str">
        <x:v>保留为主变量或独立维度</x:v>
      </x:c>
      <x:c r="M14" s="59" t="str">
        <x:v>CV029与条件适用N</x:v>
      </x:c>
      <x:c r="N14" s="59" t="str">
        <x:v>仅在日期条件满足的公司中描述；必须报告条件分母。</x:v>
      </x:c>
      <x:c r="O14" s="59" t="str">
        <x:v>Stage5B导入</x:v>
      </x:c>
      <x:c r="P14" s="59" t="str">
        <x:v>Stage5C导入</x:v>
      </x:c>
      <x:c r="Q14" s="59" t="str">
        <x:v>研究判断</x:v>
      </x:c>
    </x:row>
    <x:row r="15" ht="88" customHeight="1">
      <x:c r="A15" s="53" t="str">
        <x:v>CV011</x:v>
      </x:c>
      <x:c r="B15" s="53" t="str">
        <x:v>确认PE/VC参与标记</x:v>
      </x:c>
      <x:c r="C15" s="53" t="str">
        <x:v>PEVC参与</x:v>
      </x:c>
      <x:c r="D15" s="53" t="str">
        <x:v>CROSS_SECTIONAL_DESCRIPTIVE</x:v>
      </x:c>
      <x:c r="E15" s="55" t="n">
        <x:v>12</x:v>
      </x:c>
      <x:c r="F15" s="55" t="str">
        <x:v>优先候选</x:v>
      </x:c>
      <x:c r="G15" s="55" t="n">
        <x:v>11</x:v>
      </x:c>
      <x:c r="H15" s="55" t="str">
        <x:v>核心应用</x:v>
      </x:c>
      <x:c r="I15" s="53" t="str">
        <x:f>IF(OR(F15="暂缓",H15="暂缓"),"DEFER",IF(OR(F15="质量伴随",H15="质量/风险控制"),"QUALITY_GATE",IF(OR(F15="案例命题",H15="案例应用"),"CASE",IF(OR(F15="条件描述候选",H15="条件应用"),"CONDITIONAL",IF(AND(F15="优先候选",H15="核心应用"),"DUAL_CORE",IF(F15="优先候选","RESEARCH_CORE",IF(H15="核心应用","COMMERCIAL_CORE","DUAL_SUPPORT")))))))</x:f>
        <x:v>DUAL_CORE</x:v>
      </x:c>
      <x:c r="J15" s="53" t="str">
        <x:f>IF(I15="DUAL_CORE","后续选择主轴核心",IF(I15="RESEARCH_CORE","研究问题核心；商业辅助",IF(I15="COMMERCIAL_CORE","画像入口；不单独理论解释",IF(I15="DUAL_SUPPORT","替代或补充解释",IF(I15="CONDITIONAL","条件样本描述",IF(I15="CASE","案例路径变量",IF(I15="QUALITY_GATE","强制质量闸门","保留定义；暂缓使用")))))))</x:f>
        <x:v>后续选择主轴核心</x:v>
      </x:c>
      <x:c r="K15" s="59" t="str">
        <x:v>B03 PE/VC参与与深度</x:v>
      </x:c>
      <x:c r="L15" s="59" t="str">
        <x:v>保留为主变量或独立维度</x:v>
      </x:c>
      <x:c r="M15" s="59" t="str">
        <x:v>有效N、法律主体口径、warning_code</x:v>
      </x:c>
      <x:c r="N15" s="59" t="str">
        <x:v>仅用于八家公司描述和案例选择，不做因果、显著性或优劣判断。</x:v>
      </x:c>
      <x:c r="O15" s="59" t="str">
        <x:v>Stage5B导入</x:v>
      </x:c>
      <x:c r="P15" s="59" t="str">
        <x:v>Stage5C导入</x:v>
      </x:c>
      <x:c r="Q15" s="59" t="str">
        <x:v>研究判断</x:v>
      </x:c>
    </x:row>
    <x:row r="16" ht="88" customHeight="1">
      <x:c r="A16" s="53" t="str">
        <x:v>CV012</x:v>
      </x:c>
      <x:c r="B16" s="53" t="str">
        <x:v>确认PE/VC法律主体数</x:v>
      </x:c>
      <x:c r="C16" s="53" t="str">
        <x:v>PEVC参与</x:v>
      </x:c>
      <x:c r="D16" s="53" t="str">
        <x:v>CROSS_SECTIONAL_DESCRIPTIVE</x:v>
      </x:c>
      <x:c r="E16" s="55" t="n">
        <x:v>11</x:v>
      </x:c>
      <x:c r="F16" s="55" t="str">
        <x:v>优先候选</x:v>
      </x:c>
      <x:c r="G16" s="55" t="n">
        <x:v>11</x:v>
      </x:c>
      <x:c r="H16" s="55" t="str">
        <x:v>核心应用</x:v>
      </x:c>
      <x:c r="I16" s="53" t="str">
        <x:f>IF(OR(F16="暂缓",H16="暂缓"),"DEFER",IF(OR(F16="质量伴随",H16="质量/风险控制"),"QUALITY_GATE",IF(OR(F16="案例命题",H16="案例应用"),"CASE",IF(OR(F16="条件描述候选",H16="条件应用"),"CONDITIONAL",IF(AND(F16="优先候选",H16="核心应用"),"DUAL_CORE",IF(F16="优先候选","RESEARCH_CORE",IF(H16="核心应用","COMMERCIAL_CORE","DUAL_SUPPORT")))))))</x:f>
        <x:v>DUAL_CORE</x:v>
      </x:c>
      <x:c r="J16" s="53" t="str">
        <x:f>IF(I16="DUAL_CORE","后续选择主轴核心",IF(I16="RESEARCH_CORE","研究问题核心；商业辅助",IF(I16="COMMERCIAL_CORE","画像入口；不单独理论解释",IF(I16="DUAL_SUPPORT","替代或补充解释",IF(I16="CONDITIONAL","条件样本描述",IF(I16="CASE","案例路径变量",IF(I16="QUALITY_GATE","强制质量闸门","保留定义；暂缓使用")))))))</x:f>
        <x:v>后续选择主轴核心</x:v>
      </x:c>
      <x:c r="K16" s="59" t="str">
        <x:v>B03 PE/VC参与与深度</x:v>
      </x:c>
      <x:c r="L16" s="59" t="str">
        <x:v>保留为主变量或独立维度</x:v>
      </x:c>
      <x:c r="M16" s="59" t="str">
        <x:v>有效N、法律主体口径、warning_code</x:v>
      </x:c>
      <x:c r="N16" s="59" t="str">
        <x:v>仅用于八家公司描述和案例选择，不做因果、显著性或优劣判断。</x:v>
      </x:c>
      <x:c r="O16" s="59" t="str">
        <x:v>Stage5B导入</x:v>
      </x:c>
      <x:c r="P16" s="59" t="str">
        <x:v>Stage5C导入</x:v>
      </x:c>
      <x:c r="Q16" s="59" t="str">
        <x:v>研究判断</x:v>
      </x:c>
    </x:row>
    <x:row r="17" ht="88" customHeight="1">
      <x:c r="A17" s="53" t="str">
        <x:v>CV013</x:v>
      </x:c>
      <x:c r="B17" s="53" t="str">
        <x:v>确认PE/VC占直接主体比重</x:v>
      </x:c>
      <x:c r="C17" s="53" t="str">
        <x:v>PEVC参与</x:v>
      </x:c>
      <x:c r="D17" s="53" t="str">
        <x:v>CROSS_SECTIONAL_DESCRIPTIVE</x:v>
      </x:c>
      <x:c r="E17" s="55" t="n">
        <x:v>12</x:v>
      </x:c>
      <x:c r="F17" s="55" t="str">
        <x:v>优先候选</x:v>
      </x:c>
      <x:c r="G17" s="55" t="n">
        <x:v>10</x:v>
      </x:c>
      <x:c r="H17" s="55" t="str">
        <x:v>核心应用</x:v>
      </x:c>
      <x:c r="I17" s="53" t="str">
        <x:f>IF(OR(F17="暂缓",H17="暂缓"),"DEFER",IF(OR(F17="质量伴随",H17="质量/风险控制"),"QUALITY_GATE",IF(OR(F17="案例命题",H17="案例应用"),"CASE",IF(OR(F17="条件描述候选",H17="条件应用"),"CONDITIONAL",IF(AND(F17="优先候选",H17="核心应用"),"DUAL_CORE",IF(F17="优先候选","RESEARCH_CORE",IF(H17="核心应用","COMMERCIAL_CORE","DUAL_SUPPORT")))))))</x:f>
        <x:v>DUAL_CORE</x:v>
      </x:c>
      <x:c r="J17" s="53" t="str">
        <x:f>IF(I17="DUAL_CORE","后续选择主轴核心",IF(I17="RESEARCH_CORE","研究问题核心；商业辅助",IF(I17="COMMERCIAL_CORE","画像入口；不单独理论解释",IF(I17="DUAL_SUPPORT","替代或补充解释",IF(I17="CONDITIONAL","条件样本描述",IF(I17="CASE","案例路径变量",IF(I17="QUALITY_GATE","强制质量闸门","保留定义；暂缓使用")))))))</x:f>
        <x:v>后续选择主轴核心</x:v>
      </x:c>
      <x:c r="K17" s="59" t="str">
        <x:v>B03 PE/VC参与与深度</x:v>
      </x:c>
      <x:c r="L17" s="59" t="str">
        <x:v>保留为主变量或独立维度</x:v>
      </x:c>
      <x:c r="M17" s="59" t="str">
        <x:v>有效N、法律主体口径、warning_code</x:v>
      </x:c>
      <x:c r="N17" s="59" t="str">
        <x:v>仅用于八家公司描述和案例选择，不做因果、显著性或优劣判断。</x:v>
      </x:c>
      <x:c r="O17" s="59" t="str">
        <x:v>Stage5B导入</x:v>
      </x:c>
      <x:c r="P17" s="59" t="str">
        <x:v>Stage5C导入</x:v>
      </x:c>
      <x:c r="Q17" s="59" t="str">
        <x:v>研究判断</x:v>
      </x:c>
    </x:row>
    <x:row r="18" ht="88" customHeight="1">
      <x:c r="A18" s="53" t="str">
        <x:v>CV014</x:v>
      </x:c>
      <x:c r="B18" s="53" t="str">
        <x:v>确认PE/VC参与融资轮数</x:v>
      </x:c>
      <x:c r="C18" s="53" t="str">
        <x:v>PEVC参与深度</x:v>
      </x:c>
      <x:c r="D18" s="53" t="str">
        <x:v>CROSS_SECTIONAL_DESCRIPTIVE</x:v>
      </x:c>
      <x:c r="E18" s="55" t="n">
        <x:v>10</x:v>
      </x:c>
      <x:c r="F18" s="55" t="str">
        <x:v>优先候选</x:v>
      </x:c>
      <x:c r="G18" s="55" t="n">
        <x:v>10</x:v>
      </x:c>
      <x:c r="H18" s="55" t="str">
        <x:v>核心应用</x:v>
      </x:c>
      <x:c r="I18" s="53" t="str">
        <x:f>IF(OR(F18="暂缓",H18="暂缓"),"DEFER",IF(OR(F18="质量伴随",H18="质量/风险控制"),"QUALITY_GATE",IF(OR(F18="案例命题",H18="案例应用"),"CASE",IF(OR(F18="条件描述候选",H18="条件应用"),"CONDITIONAL",IF(AND(F18="优先候选",H18="核心应用"),"DUAL_CORE",IF(F18="优先候选","RESEARCH_CORE",IF(H18="核心应用","COMMERCIAL_CORE","DUAL_SUPPORT")))))))</x:f>
        <x:v>DUAL_CORE</x:v>
      </x:c>
      <x:c r="J18" s="53" t="str">
        <x:f>IF(I18="DUAL_CORE","后续选择主轴核心",IF(I18="RESEARCH_CORE","研究问题核心；商业辅助",IF(I18="COMMERCIAL_CORE","画像入口；不单独理论解释",IF(I18="DUAL_SUPPORT","替代或补充解释",IF(I18="CONDITIONAL","条件样本描述",IF(I18="CASE","案例路径变量",IF(I18="QUALITY_GATE","强制质量闸门","保留定义；暂缓使用")))))))</x:f>
        <x:v>后续选择主轴核心</x:v>
      </x:c>
      <x:c r="K18" s="59" t="str">
        <x:v>B03 PE/VC参与与深度</x:v>
      </x:c>
      <x:c r="L18" s="59" t="str">
        <x:v>保留为主变量或独立维度</x:v>
      </x:c>
      <x:c r="M18" s="59" t="str">
        <x:v>有效N、法律主体口径、warning_code</x:v>
      </x:c>
      <x:c r="N18" s="59" t="str">
        <x:v>仅用于八家公司描述和案例选择，不做因果、显著性或优劣判断。</x:v>
      </x:c>
      <x:c r="O18" s="59" t="str">
        <x:v>Stage5B导入</x:v>
      </x:c>
      <x:c r="P18" s="59" t="str">
        <x:v>Stage5C导入</x:v>
      </x:c>
      <x:c r="Q18" s="59" t="str">
        <x:v>研究判断</x:v>
      </x:c>
    </x:row>
    <x:row r="19" ht="88" customHeight="1">
      <x:c r="A19" s="53" t="str">
        <x:v>CV015</x:v>
      </x:c>
      <x:c r="B19" s="53" t="str">
        <x:v>首次确认PE/VC进入日期</x:v>
      </x:c>
      <x:c r="C19" s="53" t="str">
        <x:v>PEVC进入时点</x:v>
      </x:c>
      <x:c r="D19" s="53" t="str">
        <x:v>CASE_ONLY</x:v>
      </x:c>
      <x:c r="E19" s="55" t="n">
        <x:v>9</x:v>
      </x:c>
      <x:c r="F19" s="55" t="str">
        <x:v>案例命题</x:v>
      </x:c>
      <x:c r="G19" s="55" t="n">
        <x:v>7</x:v>
      </x:c>
      <x:c r="H19" s="55" t="str">
        <x:v>案例应用</x:v>
      </x:c>
      <x:c r="I19" s="53" t="str">
        <x:f>IF(OR(F19="暂缓",H19="暂缓"),"DEFER",IF(OR(F19="质量伴随",H19="质量/风险控制"),"QUALITY_GATE",IF(OR(F19="案例命题",H19="案例应用"),"CASE",IF(OR(F19="条件描述候选",H19="条件应用"),"CONDITIONAL",IF(AND(F19="优先候选",H19="核心应用"),"DUAL_CORE",IF(F19="优先候选","RESEARCH_CORE",IF(H19="核心应用","COMMERCIAL_CORE","DUAL_SUPPORT")))))))</x:f>
        <x:v>CASE</x:v>
      </x:c>
      <x:c r="J19" s="53" t="str">
        <x:f>IF(I19="DUAL_CORE","后续选择主轴核心",IF(I19="RESEARCH_CORE","研究问题核心；商业辅助",IF(I19="COMMERCIAL_CORE","画像入口；不单独理论解释",IF(I19="DUAL_SUPPORT","替代或补充解释",IF(I19="CONDITIONAL","条件样本描述",IF(I19="CASE","案例路径变量",IF(I19="QUALITY_GATE","强制质量闸门","保留定义；暂缓使用")))))))</x:f>
        <x:v>案例路径变量</x:v>
      </x:c>
      <x:c r="K19" s="59" t="str">
        <x:v>B04 PE/VC进入与路径</x:v>
      </x:c>
      <x:c r="L19" s="59" t="str">
        <x:v>保留为主变量或独立维度</x:v>
      </x:c>
      <x:c r="M19" s="59" t="str">
        <x:v>CV011、CV012、路径证据与适用N</x:v>
      </x:c>
      <x:c r="N19" s="59" t="str">
        <x:v>有效N较小，仅支持案例/路径叙事，不做总体推断。</x:v>
      </x:c>
      <x:c r="O19" s="59" t="str">
        <x:v>Stage5B导入</x:v>
      </x:c>
      <x:c r="P19" s="59" t="str">
        <x:v>Stage5C导入</x:v>
      </x:c>
      <x:c r="Q19" s="59" t="str">
        <x:v>研究判断</x:v>
      </x:c>
    </x:row>
    <x:row r="20" ht="88" customHeight="1">
      <x:c r="A20" s="53" t="str">
        <x:v>CV016</x:v>
      </x:c>
      <x:c r="B20" s="53" t="str">
        <x:v>首次确认PE/VC进入年份</x:v>
      </x:c>
      <x:c r="C20" s="53" t="str">
        <x:v>PEVC进入时点</x:v>
      </x:c>
      <x:c r="D20" s="53" t="str">
        <x:v>CASE_ONLY</x:v>
      </x:c>
      <x:c r="E20" s="55" t="n">
        <x:v>7</x:v>
      </x:c>
      <x:c r="F20" s="55" t="str">
        <x:v>案例命题</x:v>
      </x:c>
      <x:c r="G20" s="55" t="n">
        <x:v>7</x:v>
      </x:c>
      <x:c r="H20" s="55" t="str">
        <x:v>案例应用</x:v>
      </x:c>
      <x:c r="I20" s="53" t="str">
        <x:f>IF(OR(F20="暂缓",H20="暂缓"),"DEFER",IF(OR(F20="质量伴随",H20="质量/风险控制"),"QUALITY_GATE",IF(OR(F20="案例命题",H20="案例应用"),"CASE",IF(OR(F20="条件描述候选",H20="条件应用"),"CONDITIONAL",IF(AND(F20="优先候选",H20="核心应用"),"DUAL_CORE",IF(F20="优先候选","RESEARCH_CORE",IF(H20="核心应用","COMMERCIAL_CORE","DUAL_SUPPORT")))))))</x:f>
        <x:v>CASE</x:v>
      </x:c>
      <x:c r="J20" s="53" t="str">
        <x:f>IF(I20="DUAL_CORE","后续选择主轴核心",IF(I20="RESEARCH_CORE","研究问题核心；商业辅助",IF(I20="COMMERCIAL_CORE","画像入口；不单独理论解释",IF(I20="DUAL_SUPPORT","替代或补充解释",IF(I20="CONDITIONAL","条件样本描述",IF(I20="CASE","案例路径变量",IF(I20="QUALITY_GATE","强制质量闸门","保留定义；暂缓使用")))))))</x:f>
        <x:v>案例路径变量</x:v>
      </x:c>
      <x:c r="K20" s="59" t="str">
        <x:v>B04 PE/VC进入与路径</x:v>
      </x:c>
      <x:c r="L20" s="59" t="str">
        <x:v>替代/敏感性变量</x:v>
      </x:c>
      <x:c r="M20" s="59" t="str">
        <x:v>CV011、CV012、路径证据与适用N</x:v>
      </x:c>
      <x:c r="N20" s="59" t="str">
        <x:v>有效N较小，仅支持案例/路径叙事，不做总体推断。</x:v>
      </x:c>
      <x:c r="O20" s="59" t="str">
        <x:v>Stage5B导入</x:v>
      </x:c>
      <x:c r="P20" s="59" t="str">
        <x:v>Stage5C导入</x:v>
      </x:c>
      <x:c r="Q20" s="59" t="str">
        <x:v>研究判断</x:v>
      </x:c>
    </x:row>
    <x:row r="21" ht="88" customHeight="1">
      <x:c r="A21" s="53" t="str">
        <x:v>CV017</x:v>
      </x:c>
      <x:c r="B21" s="53" t="str">
        <x:v>首次确认PE/VC融资轮位置</x:v>
      </x:c>
      <x:c r="C21" s="53" t="str">
        <x:v>PEVC进入时点</x:v>
      </x:c>
      <x:c r="D21" s="53" t="str">
        <x:v>CASE_ONLY</x:v>
      </x:c>
      <x:c r="E21" s="55" t="n">
        <x:v>9</x:v>
      </x:c>
      <x:c r="F21" s="55" t="str">
        <x:v>案例命题</x:v>
      </x:c>
      <x:c r="G21" s="55" t="n">
        <x:v>6</x:v>
      </x:c>
      <x:c r="H21" s="55" t="str">
        <x:v>案例应用</x:v>
      </x:c>
      <x:c r="I21" s="53" t="str">
        <x:f>IF(OR(F21="暂缓",H21="暂缓"),"DEFER",IF(OR(F21="质量伴随",H21="质量/风险控制"),"QUALITY_GATE",IF(OR(F21="案例命题",H21="案例应用"),"CASE",IF(OR(F21="条件描述候选",H21="条件应用"),"CONDITIONAL",IF(AND(F21="优先候选",H21="核心应用"),"DUAL_CORE",IF(F21="优先候选","RESEARCH_CORE",IF(H21="核心应用","COMMERCIAL_CORE","DUAL_SUPPORT")))))))</x:f>
        <x:v>CASE</x:v>
      </x:c>
      <x:c r="J21" s="53" t="str">
        <x:f>IF(I21="DUAL_CORE","后续选择主轴核心",IF(I21="RESEARCH_CORE","研究问题核心；商业辅助",IF(I21="COMMERCIAL_CORE","画像入口；不单独理论解释",IF(I21="DUAL_SUPPORT","替代或补充解释",IF(I21="CONDITIONAL","条件样本描述",IF(I21="CASE","案例路径变量",IF(I21="QUALITY_GATE","强制质量闸门","保留定义；暂缓使用")))))))</x:f>
        <x:v>案例路径变量</x:v>
      </x:c>
      <x:c r="K21" s="59" t="str">
        <x:v>B04 PE/VC进入与路径</x:v>
      </x:c>
      <x:c r="L21" s="59" t="str">
        <x:v>保留为主变量或独立维度</x:v>
      </x:c>
      <x:c r="M21" s="59" t="str">
        <x:v>CV011、CV012、路径证据与适用N</x:v>
      </x:c>
      <x:c r="N21" s="59" t="str">
        <x:v>有效N较小，仅支持案例/路径叙事，不做总体推断。</x:v>
      </x:c>
      <x:c r="O21" s="59" t="str">
        <x:v>Stage5B导入</x:v>
      </x:c>
      <x:c r="P21" s="59" t="str">
        <x:v>Stage5C导入</x:v>
      </x:c>
      <x:c r="Q21" s="59" t="str">
        <x:v>研究判断</x:v>
      </x:c>
    </x:row>
    <x:row r="22" ht="88" customHeight="1">
      <x:c r="A22" s="53" t="str">
        <x:v>CV018</x:v>
      </x:c>
      <x:c r="B22" s="53" t="str">
        <x:v>确认PE/VC间接路径标记</x:v>
      </x:c>
      <x:c r="C22" s="53" t="str">
        <x:v>投资路径复杂度</x:v>
      </x:c>
      <x:c r="D22" s="53" t="str">
        <x:v>CROSS_SECTIONAL_DESCRIPTIVE</x:v>
      </x:c>
      <x:c r="E22" s="55" t="n">
        <x:v>9</x:v>
      </x:c>
      <x:c r="F22" s="55" t="str">
        <x:v>探索候选</x:v>
      </x:c>
      <x:c r="G22" s="55" t="n">
        <x:v>8</x:v>
      </x:c>
      <x:c r="H22" s="55" t="str">
        <x:v>辅助应用</x:v>
      </x:c>
      <x:c r="I22" s="53" t="str">
        <x:f>IF(OR(F22="暂缓",H22="暂缓"),"DEFER",IF(OR(F22="质量伴随",H22="质量/风险控制"),"QUALITY_GATE",IF(OR(F22="案例命题",H22="案例应用"),"CASE",IF(OR(F22="条件描述候选",H22="条件应用"),"CONDITIONAL",IF(AND(F22="优先候选",H22="核心应用"),"DUAL_CORE",IF(F22="优先候选","RESEARCH_CORE",IF(H22="核心应用","COMMERCIAL_CORE","DUAL_SUPPORT")))))))</x:f>
        <x:v>DUAL_SUPPORT</x:v>
      </x:c>
      <x:c r="J22" s="53" t="str">
        <x:f>IF(I22="DUAL_CORE","后续选择主轴核心",IF(I22="RESEARCH_CORE","研究问题核心；商业辅助",IF(I22="COMMERCIAL_CORE","画像入口；不单独理论解释",IF(I22="DUAL_SUPPORT","替代或补充解释",IF(I22="CONDITIONAL","条件样本描述",IF(I22="CASE","案例路径变量",IF(I22="QUALITY_GATE","强制质量闸门","保留定义；暂缓使用")))))))</x:f>
        <x:v>替代或补充解释</x:v>
      </x:c>
      <x:c r="K22" s="59" t="str">
        <x:v>B04 PE/VC进入与路径</x:v>
      </x:c>
      <x:c r="L22" s="59" t="str">
        <x:v>保留为主变量或独立维度</x:v>
      </x:c>
      <x:c r="M22" s="59" t="str">
        <x:v>CV011、CV012、路径证据与适用N</x:v>
      </x:c>
      <x:c r="N22" s="59" t="str">
        <x:v>仅用于八家公司描述和案例选择，不做因果、显著性或优劣判断。</x:v>
      </x:c>
      <x:c r="O22" s="59" t="str">
        <x:v>Stage5B导入</x:v>
      </x:c>
      <x:c r="P22" s="59" t="str">
        <x:v>Stage5C导入</x:v>
      </x:c>
      <x:c r="Q22" s="59" t="str">
        <x:v>研究判断</x:v>
      </x:c>
    </x:row>
    <x:row r="23" ht="88" customHeight="1">
      <x:c r="A23" s="53" t="str">
        <x:v>CV019</x:v>
      </x:c>
      <x:c r="B23" s="53" t="str">
        <x:v>确认PE/VC进入方式多样性</x:v>
      </x:c>
      <x:c r="C23" s="53" t="str">
        <x:v>PEVC进入方式</x:v>
      </x:c>
      <x:c r="D23" s="53" t="str">
        <x:v>CROSS_SECTIONAL_DESCRIPTIVE</x:v>
      </x:c>
      <x:c r="E23" s="55" t="n">
        <x:v>9</x:v>
      </x:c>
      <x:c r="F23" s="55" t="str">
        <x:v>探索候选</x:v>
      </x:c>
      <x:c r="G23" s="55" t="n">
        <x:v>8</x:v>
      </x:c>
      <x:c r="H23" s="55" t="str">
        <x:v>辅助应用</x:v>
      </x:c>
      <x:c r="I23" s="53" t="str">
        <x:f>IF(OR(F23="暂缓",H23="暂缓"),"DEFER",IF(OR(F23="质量伴随",H23="质量/风险控制"),"QUALITY_GATE",IF(OR(F23="案例命题",H23="案例应用"),"CASE",IF(OR(F23="条件描述候选",H23="条件应用"),"CONDITIONAL",IF(AND(F23="优先候选",H23="核心应用"),"DUAL_CORE",IF(F23="优先候选","RESEARCH_CORE",IF(H23="核心应用","COMMERCIAL_CORE","DUAL_SUPPORT")))))))</x:f>
        <x:v>DUAL_SUPPORT</x:v>
      </x:c>
      <x:c r="J23" s="53" t="str">
        <x:f>IF(I23="DUAL_CORE","后续选择主轴核心",IF(I23="RESEARCH_CORE","研究问题核心；商业辅助",IF(I23="COMMERCIAL_CORE","画像入口；不单独理论解释",IF(I23="DUAL_SUPPORT","替代或补充解释",IF(I23="CONDITIONAL","条件样本描述",IF(I23="CASE","案例路径变量",IF(I23="QUALITY_GATE","强制质量闸门","保留定义；暂缓使用")))))))</x:f>
        <x:v>替代或补充解释</x:v>
      </x:c>
      <x:c r="K23" s="59" t="str">
        <x:v>B04 PE/VC进入与路径</x:v>
      </x:c>
      <x:c r="L23" s="59" t="str">
        <x:v>保留为主变量或独立维度</x:v>
      </x:c>
      <x:c r="M23" s="59" t="str">
        <x:v>CV011、CV012、路径证据与适用N</x:v>
      </x:c>
      <x:c r="N23" s="59" t="str">
        <x:v>仅用于八家公司描述和案例选择，不做因果、显著性或优劣判断。</x:v>
      </x:c>
      <x:c r="O23" s="59" t="str">
        <x:v>Stage5B导入</x:v>
      </x:c>
      <x:c r="P23" s="59" t="str">
        <x:v>Stage5C导入</x:v>
      </x:c>
      <x:c r="Q23" s="59" t="str">
        <x:v>研究判断</x:v>
      </x:c>
    </x:row>
    <x:row r="24" ht="88" customHeight="1">
      <x:c r="A24" s="53" t="str">
        <x:v>CV020</x:v>
      </x:c>
      <x:c r="B24" s="53" t="str">
        <x:v>直接参与法律主体数</x:v>
      </x:c>
      <x:c r="C24" s="53" t="str">
        <x:v>参与结构规模</x:v>
      </x:c>
      <x:c r="D24" s="53" t="str">
        <x:v>CROSS_SECTIONAL_DESCRIPTIVE</x:v>
      </x:c>
      <x:c r="E24" s="55" t="n">
        <x:v>12</x:v>
      </x:c>
      <x:c r="F24" s="55" t="str">
        <x:v>优先候选</x:v>
      </x:c>
      <x:c r="G24" s="55" t="n">
        <x:v>11</x:v>
      </x:c>
      <x:c r="H24" s="55" t="str">
        <x:v>核心应用</x:v>
      </x:c>
      <x:c r="I24" s="53" t="str">
        <x:f>IF(OR(F24="暂缓",H24="暂缓"),"DEFER",IF(OR(F24="质量伴随",H24="质量/风险控制"),"QUALITY_GATE",IF(OR(F24="案例命题",H24="案例应用"),"CASE",IF(OR(F24="条件描述候选",H24="条件应用"),"CONDITIONAL",IF(AND(F24="优先候选",H24="核心应用"),"DUAL_CORE",IF(F24="优先候选","RESEARCH_CORE",IF(H24="核心应用","COMMERCIAL_CORE","DUAL_SUPPORT")))))))</x:f>
        <x:v>DUAL_CORE</x:v>
      </x:c>
      <x:c r="J24" s="53" t="str">
        <x:f>IF(I24="DUAL_CORE","后续选择主轴核心",IF(I24="RESEARCH_CORE","研究问题核心；商业辅助",IF(I24="COMMERCIAL_CORE","画像入口；不单独理论解释",IF(I24="DUAL_SUPPORT","替代或补充解释",IF(I24="CONDITIONAL","条件样本描述",IF(I24="CASE","案例路径变量",IF(I24="QUALITY_GATE","强制质量闸门","保留定义；暂缓使用")))))))</x:f>
        <x:v>后续选择主轴核心</x:v>
      </x:c>
      <x:c r="K24" s="59" t="str">
        <x:v>B05 参与主体结构</x:v>
      </x:c>
      <x:c r="L24" s="59" t="str">
        <x:v>保留为主变量或独立维度</x:v>
      </x:c>
      <x:c r="M24" s="59" t="str">
        <x:v>CV002、角色映射/简称桥接警告</x:v>
      </x:c>
      <x:c r="N24" s="59" t="str">
        <x:v>仅用于八家公司描述和案例选择，不做因果、显著性或优劣判断。</x:v>
      </x:c>
      <x:c r="O24" s="59" t="str">
        <x:v>Stage5B导入</x:v>
      </x:c>
      <x:c r="P24" s="59" t="str">
        <x:v>Stage5C导入</x:v>
      </x:c>
      <x:c r="Q24" s="59" t="str">
        <x:v>研究判断</x:v>
      </x:c>
    </x:row>
    <x:row r="25" ht="88" customHeight="1">
      <x:c r="A25" s="53" t="str">
        <x:v>CV021</x:v>
      </x:c>
      <x:c r="B25" s="53" t="str">
        <x:v>融资投资方法律主体数</x:v>
      </x:c>
      <x:c r="C25" s="53" t="str">
        <x:v>融资参与广度</x:v>
      </x:c>
      <x:c r="D25" s="53" t="str">
        <x:v>CROSS_SECTIONAL_DESCRIPTIVE</x:v>
      </x:c>
      <x:c r="E25" s="55" t="n">
        <x:v>11</x:v>
      </x:c>
      <x:c r="F25" s="55" t="str">
        <x:v>优先候选</x:v>
      </x:c>
      <x:c r="G25" s="55" t="n">
        <x:v>9</x:v>
      </x:c>
      <x:c r="H25" s="55" t="str">
        <x:v>辅助应用</x:v>
      </x:c>
      <x:c r="I25" s="53" t="str">
        <x:f>IF(OR(F25="暂缓",H25="暂缓"),"DEFER",IF(OR(F25="质量伴随",H25="质量/风险控制"),"QUALITY_GATE",IF(OR(F25="案例命题",H25="案例应用"),"CASE",IF(OR(F25="条件描述候选",H25="条件应用"),"CONDITIONAL",IF(AND(F25="优先候选",H25="核心应用"),"DUAL_CORE",IF(F25="优先候选","RESEARCH_CORE",IF(H25="核心应用","COMMERCIAL_CORE","DUAL_SUPPORT")))))))</x:f>
        <x:v>RESEARCH_CORE</x:v>
      </x:c>
      <x:c r="J25" s="53" t="str">
        <x:f>IF(I25="DUAL_CORE","后续选择主轴核心",IF(I25="RESEARCH_CORE","研究问题核心；商业辅助",IF(I25="COMMERCIAL_CORE","画像入口；不单独理论解释",IF(I25="DUAL_SUPPORT","替代或补充解释",IF(I25="CONDITIONAL","条件样本描述",IF(I25="CASE","案例路径变量",IF(I25="QUALITY_GATE","强制质量闸门","保留定义；暂缓使用")))))))</x:f>
        <x:v>研究问题核心；商业辅助</x:v>
      </x:c>
      <x:c r="K25" s="59" t="str">
        <x:v>B05 参与主体结构</x:v>
      </x:c>
      <x:c r="L25" s="59" t="str">
        <x:v>保留为主变量或独立维度</x:v>
      </x:c>
      <x:c r="M25" s="59" t="str">
        <x:v>CV002、角色映射/简称桥接警告</x:v>
      </x:c>
      <x:c r="N25" s="59" t="str">
        <x:v>仅用于八家公司描述和案例选择，不做因果、显著性或优劣判断。</x:v>
      </x:c>
      <x:c r="O25" s="59" t="str">
        <x:v>Stage5B导入</x:v>
      </x:c>
      <x:c r="P25" s="59" t="str">
        <x:v>Stage5C导入</x:v>
      </x:c>
      <x:c r="Q25" s="59" t="str">
        <x:v>研究判断</x:v>
      </x:c>
    </x:row>
    <x:row r="26" ht="88" customHeight="1">
      <x:c r="A26" s="53" t="str">
        <x:v>CV022</x:v>
      </x:c>
      <x:c r="B26" s="53" t="str">
        <x:v>每轮融资投资方密度</x:v>
      </x:c>
      <x:c r="C26" s="53" t="str">
        <x:v>融资参与密度</x:v>
      </x:c>
      <x:c r="D26" s="53" t="str">
        <x:v>CROSS_SECTIONAL_DESCRIPTIVE</x:v>
      </x:c>
      <x:c r="E26" s="55" t="n">
        <x:v>11</x:v>
      </x:c>
      <x:c r="F26" s="55" t="str">
        <x:v>优先候选</x:v>
      </x:c>
      <x:c r="G26" s="55" t="n">
        <x:v>8</x:v>
      </x:c>
      <x:c r="H26" s="55" t="str">
        <x:v>辅助应用</x:v>
      </x:c>
      <x:c r="I26" s="53" t="str">
        <x:f>IF(OR(F26="暂缓",H26="暂缓"),"DEFER",IF(OR(F26="质量伴随",H26="质量/风险控制"),"QUALITY_GATE",IF(OR(F26="案例命题",H26="案例应用"),"CASE",IF(OR(F26="条件描述候选",H26="条件应用"),"CONDITIONAL",IF(AND(F26="优先候选",H26="核心应用"),"DUAL_CORE",IF(F26="优先候选","RESEARCH_CORE",IF(H26="核心应用","COMMERCIAL_CORE","DUAL_SUPPORT")))))))</x:f>
        <x:v>RESEARCH_CORE</x:v>
      </x:c>
      <x:c r="J26" s="53" t="str">
        <x:f>IF(I26="DUAL_CORE","后续选择主轴核心",IF(I26="RESEARCH_CORE","研究问题核心；商业辅助",IF(I26="COMMERCIAL_CORE","画像入口；不单独理论解释",IF(I26="DUAL_SUPPORT","替代或补充解释",IF(I26="CONDITIONAL","条件样本描述",IF(I26="CASE","案例路径变量",IF(I26="QUALITY_GATE","强制质量闸门","保留定义；暂缓使用")))))))</x:f>
        <x:v>研究问题核心；商业辅助</x:v>
      </x:c>
      <x:c r="K26" s="59" t="str">
        <x:v>B05 参与主体结构</x:v>
      </x:c>
      <x:c r="L26" s="59" t="str">
        <x:v>保留为主变量或独立维度</x:v>
      </x:c>
      <x:c r="M26" s="59" t="str">
        <x:v>CV002、角色映射/简称桥接警告</x:v>
      </x:c>
      <x:c r="N26" s="59" t="str">
        <x:v>仅用于八家公司描述和案例选择，不做因果、显著性或优劣判断。</x:v>
      </x:c>
      <x:c r="O26" s="59" t="str">
        <x:v>Stage5B导入</x:v>
      </x:c>
      <x:c r="P26" s="59" t="str">
        <x:v>Stage5C导入</x:v>
      </x:c>
      <x:c r="Q26" s="59" t="str">
        <x:v>研究判断</x:v>
      </x:c>
    </x:row>
    <x:row r="27" ht="88" customHeight="1">
      <x:c r="A27" s="53" t="str">
        <x:v>CV023</x:v>
      </x:c>
      <x:c r="B27" s="53" t="str">
        <x:v>融资方式多样性</x:v>
      </x:c>
      <x:c r="C27" s="53" t="str">
        <x:v>融资机制</x:v>
      </x:c>
      <x:c r="D27" s="53" t="str">
        <x:v>DEFER_REDUNDANT</x:v>
      </x:c>
      <x:c r="E27" s="55"/>
      <x:c r="F27" s="55" t="str">
        <x:v>暂缓</x:v>
      </x:c>
      <x:c r="G27" s="55"/>
      <x:c r="H27" s="55" t="str">
        <x:v>暂缓</x:v>
      </x:c>
      <x:c r="I27" s="53" t="str">
        <x:f>IF(OR(F27="暂缓",H27="暂缓"),"DEFER",IF(OR(F27="质量伴随",H27="质量/风险控制"),"QUALITY_GATE",IF(OR(F27="案例命题",H27="案例应用"),"CASE",IF(OR(F27="条件描述候选",H27="条件应用"),"CONDITIONAL",IF(AND(F27="优先候选",H27="核心应用"),"DUAL_CORE",IF(F27="优先候选","RESEARCH_CORE",IF(H27="核心应用","COMMERCIAL_CORE","DUAL_SUPPORT")))))))</x:f>
        <x:v>DEFER</x:v>
      </x:c>
      <x:c r="J27" s="53" t="str">
        <x:f>IF(I27="DUAL_CORE","后续选择主轴核心",IF(I27="RESEARCH_CORE","研究问题核心；商业辅助",IF(I27="COMMERCIAL_CORE","画像入口；不单独理论解释",IF(I27="DUAL_SUPPORT","替代或补充解释",IF(I27="CONDITIONAL","条件样本描述",IF(I27="CASE","案例路径变量",IF(I27="QUALITY_GATE","强制质量闸门","保留定义；暂缓使用")))))))</x:f>
        <x:v>保留定义；暂缓使用</x:v>
      </x:c>
      <x:c r="K27" s="59" t="str">
        <x:v>B01 融资强度与规模</x:v>
      </x:c>
      <x:c r="L27" s="59" t="str">
        <x:v>暂缓：当前样本完全冗余</x:v>
      </x:c>
      <x:c r="M27" s="59" t="str">
        <x:v>有效N、结构NA、缺失N与warning_code</x:v>
      </x:c>
      <x:c r="N27" s="59" t="str">
        <x:v>当前样本与CV001重合；扩样前不宣称增量信息。</x:v>
      </x:c>
      <x:c r="O27" s="59" t="str">
        <x:v>Stage5B导入</x:v>
      </x:c>
      <x:c r="P27" s="59" t="str">
        <x:v>Stage5C导入</x:v>
      </x:c>
      <x:c r="Q27" s="59" t="str">
        <x:v>研究判断</x:v>
      </x:c>
    </x:row>
    <x:row r="28" ht="88" customHeight="1">
      <x:c r="A28" s="53" t="str">
        <x:v>CV024</x:v>
      </x:c>
      <x:c r="B28" s="53" t="str">
        <x:v>股权转让交易数</x:v>
      </x:c>
      <x:c r="C28" s="53" t="str">
        <x:v>二级股权流动</x:v>
      </x:c>
      <x:c r="D28" s="53" t="str">
        <x:v>CROSS_SECTIONAL_DESCRIPTIVE</x:v>
      </x:c>
      <x:c r="E28" s="55" t="n">
        <x:v>12</x:v>
      </x:c>
      <x:c r="F28" s="55" t="str">
        <x:v>优先候选</x:v>
      </x:c>
      <x:c r="G28" s="55" t="n">
        <x:v>11</x:v>
      </x:c>
      <x:c r="H28" s="55" t="str">
        <x:v>核心应用</x:v>
      </x:c>
      <x:c r="I28" s="53" t="str">
        <x:f>IF(OR(F28="暂缓",H28="暂缓"),"DEFER",IF(OR(F28="质量伴随",H28="质量/风险控制"),"QUALITY_GATE",IF(OR(F28="案例命题",H28="案例应用"),"CASE",IF(OR(F28="条件描述候选",H28="条件应用"),"CONDITIONAL",IF(AND(F28="优先候选",H28="核心应用"),"DUAL_CORE",IF(F28="优先候选","RESEARCH_CORE",IF(H28="核心应用","COMMERCIAL_CORE","DUAL_SUPPORT")))))))</x:f>
        <x:v>DUAL_CORE</x:v>
      </x:c>
      <x:c r="J28" s="53" t="str">
        <x:f>IF(I28="DUAL_CORE","后续选择主轴核心",IF(I28="RESEARCH_CORE","研究问题核心；商业辅助",IF(I28="COMMERCIAL_CORE","画像入口；不单独理论解释",IF(I28="DUAL_SUPPORT","替代或补充解释",IF(I28="CONDITIONAL","条件样本描述",IF(I28="CASE","案例路径变量",IF(I28="QUALITY_GATE","强制质量闸门","保留定义；暂缓使用")))))))</x:f>
        <x:v>后续选择主轴核心</x:v>
      </x:c>
      <x:c r="K28" s="59" t="str">
        <x:v>B06 一级/二级交易</x:v>
      </x:c>
      <x:c r="L28" s="59" t="str">
        <x:v>保留为主变量或独立维度</x:v>
      </x:c>
      <x:c r="M28" s="59" t="str">
        <x:v>一级/二级交易分离说明</x:v>
      </x:c>
      <x:c r="N28" s="59" t="str">
        <x:v>仅用于八家公司描述和案例选择，不做因果、显著性或优劣判断。</x:v>
      </x:c>
      <x:c r="O28" s="59" t="str">
        <x:v>Stage5B导入</x:v>
      </x:c>
      <x:c r="P28" s="59" t="str">
        <x:v>Stage5C导入</x:v>
      </x:c>
      <x:c r="Q28" s="59" t="str">
        <x:v>研究判断</x:v>
      </x:c>
    </x:row>
    <x:row r="29" ht="88" customHeight="1">
      <x:c r="A29" s="53" t="str">
        <x:v>CV025</x:v>
      </x:c>
      <x:c r="B29" s="53" t="str">
        <x:v>可核验股权转让对价下限</x:v>
      </x:c>
      <x:c r="C29" s="53" t="str">
        <x:v>二级股权流动</x:v>
      </x:c>
      <x:c r="D29" s="53" t="str">
        <x:v>CONDITIONAL_DESCRIPTIVE</x:v>
      </x:c>
      <x:c r="E29" s="55" t="n">
        <x:v>10</x:v>
      </x:c>
      <x:c r="F29" s="55" t="str">
        <x:v>条件描述候选</x:v>
      </x:c>
      <x:c r="G29" s="55" t="n">
        <x:v>8</x:v>
      </x:c>
      <x:c r="H29" s="55" t="str">
        <x:v>条件应用</x:v>
      </x:c>
      <x:c r="I29" s="53" t="str">
        <x:f>IF(OR(F29="暂缓",H29="暂缓"),"DEFER",IF(OR(F29="质量伴随",H29="质量/风险控制"),"QUALITY_GATE",IF(OR(F29="案例命题",H29="案例应用"),"CASE",IF(OR(F29="条件描述候选",H29="条件应用"),"CONDITIONAL",IF(AND(F29="优先候选",H29="核心应用"),"DUAL_CORE",IF(F29="优先候选","RESEARCH_CORE",IF(H29="核心应用","COMMERCIAL_CORE","DUAL_SUPPORT")))))))</x:f>
        <x:v>CONDITIONAL</x:v>
      </x:c>
      <x:c r="J29" s="53" t="str">
        <x:f>IF(I29="DUAL_CORE","后续选择主轴核心",IF(I29="RESEARCH_CORE","研究问题核心；商业辅助",IF(I29="COMMERCIAL_CORE","画像入口；不单独理论解释",IF(I29="DUAL_SUPPORT","替代或补充解释",IF(I29="CONDITIONAL","条件样本描述",IF(I29="CASE","案例路径变量",IF(I29="QUALITY_GATE","强制质量闸门","保留定义；暂缓使用")))))))</x:f>
        <x:v>条件样本描述</x:v>
      </x:c>
      <x:c r="K29" s="59" t="str">
        <x:v>B06 一级/二级交易</x:v>
      </x:c>
      <x:c r="L29" s="59" t="str">
        <x:v>保留为主变量或独立维度</x:v>
      </x:c>
      <x:c r="M29" s="59" t="str">
        <x:v>转让金额状态与适用N</x:v>
      </x:c>
      <x:c r="N29" s="59" t="str">
        <x:v>股权转让对价仅为可核验下限，且只在适用公司中描述；不得解释为真实累计转让额。</x:v>
      </x:c>
      <x:c r="O29" s="59" t="str">
        <x:v>Stage5B导入</x:v>
      </x:c>
      <x:c r="P29" s="59" t="str">
        <x:v>Stage5C导入</x:v>
      </x:c>
      <x:c r="Q29" s="59" t="str">
        <x:v>研究判断</x:v>
      </x:c>
    </x:row>
    <x:row r="30" ht="88" customHeight="1">
      <x:c r="A30" s="53" t="str">
        <x:v>CV026</x:v>
      </x:c>
      <x:c r="B30" s="53" t="str">
        <x:v>转让对价与融资金额比</x:v>
      </x:c>
      <x:c r="C30" s="53" t="str">
        <x:v>二级股权流动</x:v>
      </x:c>
      <x:c r="D30" s="53" t="str">
        <x:v>CASE_ONLY</x:v>
      </x:c>
      <x:c r="E30" s="55" t="n">
        <x:v>9</x:v>
      </x:c>
      <x:c r="F30" s="55" t="str">
        <x:v>案例命题</x:v>
      </x:c>
      <x:c r="G30" s="55" t="n">
        <x:v>6</x:v>
      </x:c>
      <x:c r="H30" s="55" t="str">
        <x:v>案例应用</x:v>
      </x:c>
      <x:c r="I30" s="53" t="str">
        <x:f>IF(OR(F30="暂缓",H30="暂缓"),"DEFER",IF(OR(F30="质量伴随",H30="质量/风险控制"),"QUALITY_GATE",IF(OR(F30="案例命题",H30="案例应用"),"CASE",IF(OR(F30="条件描述候选",H30="条件应用"),"CONDITIONAL",IF(AND(F30="优先候选",H30="核心应用"),"DUAL_CORE",IF(F30="优先候选","RESEARCH_CORE",IF(H30="核心应用","COMMERCIAL_CORE","DUAL_SUPPORT")))))))</x:f>
        <x:v>CASE</x:v>
      </x:c>
      <x:c r="J30" s="53" t="str">
        <x:f>IF(I30="DUAL_CORE","后续选择主轴核心",IF(I30="RESEARCH_CORE","研究问题核心；商业辅助",IF(I30="COMMERCIAL_CORE","画像入口；不单独理论解释",IF(I30="DUAL_SUPPORT","替代或补充解释",IF(I30="CONDITIONAL","条件样本描述",IF(I30="CASE","案例路径变量",IF(I30="QUALITY_GATE","强制质量闸门","保留定义；暂缓使用")))))))</x:f>
        <x:v>案例路径变量</x:v>
      </x:c>
      <x:c r="K30" s="59" t="str">
        <x:v>B06 一级/二级交易</x:v>
      </x:c>
      <x:c r="L30" s="59" t="str">
        <x:v>依赖型案例变量</x:v>
      </x:c>
      <x:c r="M30" s="59" t="str">
        <x:v>CV003、CV025及双方金额状态</x:v>
      </x:c>
      <x:c r="N30" s="59" t="str">
        <x:v>有效N较小，仅支持案例/路径叙事，不做总体推断。</x:v>
      </x:c>
      <x:c r="O30" s="59" t="str">
        <x:v>Stage5B导入</x:v>
      </x:c>
      <x:c r="P30" s="59" t="str">
        <x:v>Stage5C导入</x:v>
      </x:c>
      <x:c r="Q30" s="59" t="str">
        <x:v>研究判断</x:v>
      </x:c>
    </x:row>
    <x:row r="31" ht="88" customHeight="1">
      <x:c r="A31" s="53" t="str">
        <x:v>CV027</x:v>
      </x:c>
      <x:c r="B31" s="53" t="str">
        <x:v>金额已知融资轮数</x:v>
      </x:c>
      <x:c r="C31" s="53" t="str">
        <x:v>数据可用性</x:v>
      </x:c>
      <x:c r="D31" s="53" t="str">
        <x:v>QUALITY_COMPANION</x:v>
      </x:c>
      <x:c r="E31" s="55" t="n">
        <x:v>10</x:v>
      </x:c>
      <x:c r="F31" s="55" t="str">
        <x:v>质量伴随</x:v>
      </x:c>
      <x:c r="G31" s="55" t="n">
        <x:v>12</x:v>
      </x:c>
      <x:c r="H31" s="55" t="str">
        <x:v>质量/风险控制</x:v>
      </x:c>
      <x:c r="I31" s="53" t="str">
        <x:f>IF(OR(F31="暂缓",H31="暂缓"),"DEFER",IF(OR(F31="质量伴随",H31="质量/风险控制"),"QUALITY_GATE",IF(OR(F31="案例命题",H31="案例应用"),"CASE",IF(OR(F31="条件描述候选",H31="条件应用"),"CONDITIONAL",IF(AND(F31="优先候选",H31="核心应用"),"DUAL_CORE",IF(F31="优先候选","RESEARCH_CORE",IF(H31="核心应用","COMMERCIAL_CORE","DUAL_SUPPORT")))))))</x:f>
        <x:v>QUALITY_GATE</x:v>
      </x:c>
      <x:c r="J31" s="53" t="str">
        <x:f>IF(I31="DUAL_CORE","后续选择主轴核心",IF(I31="RESEARCH_CORE","研究问题核心；商业辅助",IF(I31="COMMERCIAL_CORE","画像入口；不单独理论解释",IF(I31="DUAL_SUPPORT","替代或补充解释",IF(I31="CONDITIONAL","条件样本描述",IF(I31="CASE","案例路径变量",IF(I31="QUALITY_GATE","强制质量闸门","保留定义；暂缓使用")))))))</x:f>
        <x:v>强制质量闸门</x:v>
      </x:c>
      <x:c r="K31" s="59" t="str">
        <x:v>B07 数据质量与证据</x:v>
      </x:c>
      <x:c r="L31" s="59" t="str">
        <x:v>强制质量伴随</x:v>
      </x:c>
      <x:c r="M31" s="59" t="str">
        <x:v>有效N、结构NA、缺失N与warning_code</x:v>
      </x:c>
      <x:c r="N31" s="59" t="str">
        <x:v>反映数据和披露质量，不反映公司经营质量或投资吸引力。</x:v>
      </x:c>
      <x:c r="O31" s="59" t="str">
        <x:v>Stage5B导入</x:v>
      </x:c>
      <x:c r="P31" s="59" t="str">
        <x:v>Stage5C导入</x:v>
      </x:c>
      <x:c r="Q31" s="59" t="str">
        <x:v>研究判断</x:v>
      </x:c>
    </x:row>
    <x:row r="32" ht="88" customHeight="1">
      <x:c r="A32" s="53" t="str">
        <x:v>CV028</x:v>
      </x:c>
      <x:c r="B32" s="53" t="str">
        <x:v>融资轮金额覆盖率</x:v>
      </x:c>
      <x:c r="C32" s="53" t="str">
        <x:v>数据可用性</x:v>
      </x:c>
      <x:c r="D32" s="53" t="str">
        <x:v>QUALITY_COMPANION</x:v>
      </x:c>
      <x:c r="E32" s="55" t="n">
        <x:v>9</x:v>
      </x:c>
      <x:c r="F32" s="55" t="str">
        <x:v>质量伴随</x:v>
      </x:c>
      <x:c r="G32" s="55" t="n">
        <x:v>10</x:v>
      </x:c>
      <x:c r="H32" s="55" t="str">
        <x:v>质量/风险控制</x:v>
      </x:c>
      <x:c r="I32" s="53" t="str">
        <x:f>IF(OR(F32="暂缓",H32="暂缓"),"DEFER",IF(OR(F32="质量伴随",H32="质量/风险控制"),"QUALITY_GATE",IF(OR(F32="案例命题",H32="案例应用"),"CASE",IF(OR(F32="条件描述候选",H32="条件应用"),"CONDITIONAL",IF(AND(F32="优先候选",H32="核心应用"),"DUAL_CORE",IF(F32="优先候选","RESEARCH_CORE",IF(H32="核心应用","COMMERCIAL_CORE","DUAL_SUPPORT")))))))</x:f>
        <x:v>QUALITY_GATE</x:v>
      </x:c>
      <x:c r="J32" s="53" t="str">
        <x:f>IF(I32="DUAL_CORE","后续选择主轴核心",IF(I32="RESEARCH_CORE","研究问题核心；商业辅助",IF(I32="COMMERCIAL_CORE","画像入口；不单独理论解释",IF(I32="DUAL_SUPPORT","替代或补充解释",IF(I32="CONDITIONAL","条件样本描述",IF(I32="CASE","案例路径变量",IF(I32="QUALITY_GATE","强制质量闸门","保留定义；暂缓使用")))))))</x:f>
        <x:v>强制质量闸门</x:v>
      </x:c>
      <x:c r="K32" s="59" t="str">
        <x:v>B07 数据质量与证据</x:v>
      </x:c>
      <x:c r="L32" s="59" t="str">
        <x:v>强制质量伴随</x:v>
      </x:c>
      <x:c r="M32" s="59" t="str">
        <x:v>有效N、结构NA、缺失N与warning_code</x:v>
      </x:c>
      <x:c r="N32" s="59" t="str">
        <x:v>反映数据和披露质量，不反映公司经营质量或投资吸引力。</x:v>
      </x:c>
      <x:c r="O32" s="59" t="str">
        <x:v>Stage5B导入</x:v>
      </x:c>
      <x:c r="P32" s="59" t="str">
        <x:v>Stage5C导入</x:v>
      </x:c>
      <x:c r="Q32" s="59" t="str">
        <x:v>研究判断</x:v>
      </x:c>
    </x:row>
    <x:row r="33" ht="88" customHeight="1">
      <x:c r="A33" s="53" t="str">
        <x:v>CV029</x:v>
      </x:c>
      <x:c r="B33" s="53" t="str">
        <x:v>融资轮日期覆盖率</x:v>
      </x:c>
      <x:c r="C33" s="53" t="str">
        <x:v>数据可用性</x:v>
      </x:c>
      <x:c r="D33" s="53" t="str">
        <x:v>QUALITY_COMPANION</x:v>
      </x:c>
      <x:c r="E33" s="55" t="n">
        <x:v>9</x:v>
      </x:c>
      <x:c r="F33" s="55" t="str">
        <x:v>质量伴随</x:v>
      </x:c>
      <x:c r="G33" s="55" t="n">
        <x:v>10</x:v>
      </x:c>
      <x:c r="H33" s="55" t="str">
        <x:v>质量/风险控制</x:v>
      </x:c>
      <x:c r="I33" s="53" t="str">
        <x:f>IF(OR(F33="暂缓",H33="暂缓"),"DEFER",IF(OR(F33="质量伴随",H33="质量/风险控制"),"QUALITY_GATE",IF(OR(F33="案例命题",H33="案例应用"),"CASE",IF(OR(F33="条件描述候选",H33="条件应用"),"CONDITIONAL",IF(AND(F33="优先候选",H33="核心应用"),"DUAL_CORE",IF(F33="优先候选","RESEARCH_CORE",IF(H33="核心应用","COMMERCIAL_CORE","DUAL_SUPPORT")))))))</x:f>
        <x:v>QUALITY_GATE</x:v>
      </x:c>
      <x:c r="J33" s="53" t="str">
        <x:f>IF(I33="DUAL_CORE","后续选择主轴核心",IF(I33="RESEARCH_CORE","研究问题核心；商业辅助",IF(I33="COMMERCIAL_CORE","画像入口；不单独理论解释",IF(I33="DUAL_SUPPORT","替代或补充解释",IF(I33="CONDITIONAL","条件样本描述",IF(I33="CASE","案例路径变量",IF(I33="QUALITY_GATE","强制质量闸门","保留定义；暂缓使用")))))))</x:f>
        <x:v>强制质量闸门</x:v>
      </x:c>
      <x:c r="K33" s="59" t="str">
        <x:v>B07 数据质量与证据</x:v>
      </x:c>
      <x:c r="L33" s="59" t="str">
        <x:v>强制质量伴随</x:v>
      </x:c>
      <x:c r="M33" s="59" t="str">
        <x:v>有效N、结构NA、缺失N与warning_code</x:v>
      </x:c>
      <x:c r="N33" s="59" t="str">
        <x:v>反映数据和披露质量，不反映公司经营质量或投资吸引力。</x:v>
      </x:c>
      <x:c r="O33" s="59" t="str">
        <x:v>Stage5B导入</x:v>
      </x:c>
      <x:c r="P33" s="59" t="str">
        <x:v>Stage5C导入</x:v>
      </x:c>
      <x:c r="Q33" s="59" t="str">
        <x:v>研究判断</x:v>
      </x:c>
    </x:row>
    <x:row r="34" ht="88" customHeight="1">
      <x:c r="A34" s="53" t="str">
        <x:v>CV030</x:v>
      </x:c>
      <x:c r="B34" s="53" t="str">
        <x:v>计算型轮次金额占比</x:v>
      </x:c>
      <x:c r="C34" s="53" t="str">
        <x:v>数值来源结构</x:v>
      </x:c>
      <x:c r="D34" s="53" t="str">
        <x:v>QUALITY_COMPANION</x:v>
      </x:c>
      <x:c r="E34" s="55" t="n">
        <x:v>10</x:v>
      </x:c>
      <x:c r="F34" s="55" t="str">
        <x:v>质量伴随</x:v>
      </x:c>
      <x:c r="G34" s="55" t="n">
        <x:v>10</x:v>
      </x:c>
      <x:c r="H34" s="55" t="str">
        <x:v>质量/风险控制</x:v>
      </x:c>
      <x:c r="I34" s="53" t="str">
        <x:f>IF(OR(F34="暂缓",H34="暂缓"),"DEFER",IF(OR(F34="质量伴随",H34="质量/风险控制"),"QUALITY_GATE",IF(OR(F34="案例命题",H34="案例应用"),"CASE",IF(OR(F34="条件描述候选",H34="条件应用"),"CONDITIONAL",IF(AND(F34="优先候选",H34="核心应用"),"DUAL_CORE",IF(F34="优先候选","RESEARCH_CORE",IF(H34="核心应用","COMMERCIAL_CORE","DUAL_SUPPORT")))))))</x:f>
        <x:v>QUALITY_GATE</x:v>
      </x:c>
      <x:c r="J34" s="53" t="str">
        <x:f>IF(I34="DUAL_CORE","后续选择主轴核心",IF(I34="RESEARCH_CORE","研究问题核心；商业辅助",IF(I34="COMMERCIAL_CORE","画像入口；不单独理论解释",IF(I34="DUAL_SUPPORT","替代或补充解释",IF(I34="CONDITIONAL","条件样本描述",IF(I34="CASE","案例路径变量",IF(I34="QUALITY_GATE","强制质量闸门","保留定义；暂缓使用")))))))</x:f>
        <x:v>强制质量闸门</x:v>
      </x:c>
      <x:c r="K34" s="59" t="str">
        <x:v>B07 数据质量与证据</x:v>
      </x:c>
      <x:c r="L34" s="59" t="str">
        <x:v>强制质量伴随</x:v>
      </x:c>
      <x:c r="M34" s="59" t="str">
        <x:v>有效N、结构NA、缺失N与warning_code</x:v>
      </x:c>
      <x:c r="N34" s="59" t="str">
        <x:v>反映数据和披露质量，不反映公司经营质量或投资吸引力。</x:v>
      </x:c>
      <x:c r="O34" s="59" t="str">
        <x:v>Stage5B导入</x:v>
      </x:c>
      <x:c r="P34" s="59" t="str">
        <x:v>Stage5C导入</x:v>
      </x:c>
      <x:c r="Q34" s="59" t="str">
        <x:v>研究判断</x:v>
      </x:c>
    </x:row>
    <x:row r="35" ht="88" customHeight="1">
      <x:c r="A35" s="53" t="str">
        <x:v>CV031</x:v>
      </x:c>
      <x:c r="B35" s="53" t="str">
        <x:v>每轮融资证据记录数</x:v>
      </x:c>
      <x:c r="C35" s="53" t="str">
        <x:v>证据密度</x:v>
      </x:c>
      <x:c r="D35" s="53" t="str">
        <x:v>QUALITY_COMPANION</x:v>
      </x:c>
      <x:c r="E35" s="55" t="n">
        <x:v>8</x:v>
      </x:c>
      <x:c r="F35" s="55" t="str">
        <x:v>质量伴随</x:v>
      </x:c>
      <x:c r="G35" s="55" t="n">
        <x:v>8</x:v>
      </x:c>
      <x:c r="H35" s="55" t="str">
        <x:v>质量/风险控制</x:v>
      </x:c>
      <x:c r="I35" s="53" t="str">
        <x:f>IF(OR(F35="暂缓",H35="暂缓"),"DEFER",IF(OR(F35="质量伴随",H35="质量/风险控制"),"QUALITY_GATE",IF(OR(F35="案例命题",H35="案例应用"),"CASE",IF(OR(F35="条件描述候选",H35="条件应用"),"CONDITIONAL",IF(AND(F35="优先候选",H35="核心应用"),"DUAL_CORE",IF(F35="优先候选","RESEARCH_CORE",IF(H35="核心应用","COMMERCIAL_CORE","DUAL_SUPPORT")))))))</x:f>
        <x:v>QUALITY_GATE</x:v>
      </x:c>
      <x:c r="J35" s="53" t="str">
        <x:f>IF(I35="DUAL_CORE","后续选择主轴核心",IF(I35="RESEARCH_CORE","研究问题核心；商业辅助",IF(I35="COMMERCIAL_CORE","画像入口；不单独理论解释",IF(I35="DUAL_SUPPORT","替代或补充解释",IF(I35="CONDITIONAL","条件样本描述",IF(I35="CASE","案例路径变量",IF(I35="QUALITY_GATE","强制质量闸门","保留定义；暂缓使用")))))))</x:f>
        <x:v>强制质量闸门</x:v>
      </x:c>
      <x:c r="K35" s="59" t="str">
        <x:v>B07 数据质量与证据</x:v>
      </x:c>
      <x:c r="L35" s="59" t="str">
        <x:v>强制质量伴随</x:v>
      </x:c>
      <x:c r="M35" s="59" t="str">
        <x:v>有效N、结构NA、缺失N与warning_code</x:v>
      </x:c>
      <x:c r="N35" s="59" t="str">
        <x:v>反映数据和披露质量，不反映公司经营质量或投资吸引力。</x:v>
      </x:c>
      <x:c r="O35" s="59" t="str">
        <x:v>Stage5B导入</x:v>
      </x:c>
      <x:c r="P35" s="59" t="str">
        <x:v>Stage5C导入</x:v>
      </x:c>
      <x:c r="Q35" s="59" t="str">
        <x:v>研究判断</x:v>
      </x:c>
    </x:row>
    <x:row r="36" ht="88" customHeight="1">
      <x:c r="A36" s="54" t="str">
        <x:v>CV032</x:v>
      </x:c>
      <x:c r="B36" s="54" t="str">
        <x:v>公司级披露限制标记</x:v>
      </x:c>
      <x:c r="C36" s="54" t="str">
        <x:v>披露边界</x:v>
      </x:c>
      <x:c r="D36" s="54" t="str">
        <x:v>QUALITY_COMPANION</x:v>
      </x:c>
      <x:c r="E36" s="56" t="n">
        <x:v>10</x:v>
      </x:c>
      <x:c r="F36" s="56" t="str">
        <x:v>质量伴随</x:v>
      </x:c>
      <x:c r="G36" s="56" t="n">
        <x:v>10</x:v>
      </x:c>
      <x:c r="H36" s="56" t="str">
        <x:v>质量/风险控制</x:v>
      </x:c>
      <x:c r="I36" s="54" t="str">
        <x:f>IF(OR(F36="暂缓",H36="暂缓"),"DEFER",IF(OR(F36="质量伴随",H36="质量/风险控制"),"QUALITY_GATE",IF(OR(F36="案例命题",H36="案例应用"),"CASE",IF(OR(F36="条件描述候选",H36="条件应用"),"CONDITIONAL",IF(AND(F36="优先候选",H36="核心应用"),"DUAL_CORE",IF(F36="优先候选","RESEARCH_CORE",IF(H36="核心应用","COMMERCIAL_CORE","DUAL_SUPPORT")))))))</x:f>
        <x:v>QUALITY_GATE</x:v>
      </x:c>
      <x:c r="J36" s="54" t="str">
        <x:f>IF(I36="DUAL_CORE","后续选择主轴核心",IF(I36="RESEARCH_CORE","研究问题核心；商业辅助",IF(I36="COMMERCIAL_CORE","画像入口；不单独理论解释",IF(I36="DUAL_SUPPORT","替代或补充解释",IF(I36="CONDITIONAL","条件样本描述",IF(I36="CASE","案例路径变量",IF(I36="QUALITY_GATE","强制质量闸门","保留定义；暂缓使用")))))))</x:f>
        <x:v>强制质量闸门</x:v>
      </x:c>
      <x:c r="K36" s="60" t="str">
        <x:v>B07 数据质量与证据</x:v>
      </x:c>
      <x:c r="L36" s="60" t="str">
        <x:v>强制质量伴随</x:v>
      </x:c>
      <x:c r="M36" s="60" t="str">
        <x:v>有效N、结构NA、缺失N与warning_code</x:v>
      </x:c>
      <x:c r="N36" s="60" t="str">
        <x:v>反映数据和披露质量，不反映公司经营质量或投资吸引力。</x:v>
      </x:c>
      <x:c r="O36" s="60" t="str">
        <x:v>Stage5B导入</x:v>
      </x:c>
      <x:c r="P36" s="60" t="str">
        <x:v>Stage5C导入</x:v>
      </x:c>
      <x:c r="Q36" s="60" t="str">
        <x:v>研究判断</x:v>
      </x:c>
    </x:row>
  </x:sheetData>
  <x:mergeCells>
    <x:mergeCell ref="A1:Q1"/>
    <x:mergeCell ref="A2:Q2"/>
  </x:mergeCells>
  <x:conditionalFormatting sqref="I5:I36">
    <x:cfRule type="containsText" dxfId="0" priority="1" operator="containsText" text="CORE"/>
    <x:cfRule type="containsText" dxfId="1" priority="2" operator="containsText" text="QUALITY"/>
    <x:cfRule type="containsText" dxfId="2" priority="3" operator="containsText" text="DEFER"/>
  </x:conditionalFormatting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30" hidden="0" customWidth="1"/>
    <x:col min="3" max="3" width="54" hidden="0" customWidth="1"/>
    <x:col min="4" max="4" width="52" hidden="0" customWidth="1"/>
    <x:col min="5" max="5" width="52" hidden="0" customWidth="1"/>
    <x:col min="6" max="6" width="24" hidden="0" customWidth="1"/>
    <x:col min="7" max="7" width="76" hidden="0" customWidth="1"/>
    <x:col min="8" max="8" width="30" hidden="0" customWidth="1"/>
  </x:cols>
  <x:sheetData>
    <x:row r="1" ht="32" customHeight="1">
      <x:c r="A1" s="3" t="str">
        <x:v>变量组合包</x:v>
      </x:c>
      <x:c r="B1" s="3"/>
      <x:c r="C1" s="3"/>
      <x:c r="D1" s="3"/>
      <x:c r="E1" s="3"/>
      <x:c r="F1" s="3"/>
      <x:c r="G1" s="3"/>
      <x:c r="H1" s="3"/>
    </x:row>
    <x:row r="2" ht="44" customHeight="1">
      <x:c r="A2" s="7" t="str">
        <x:v>变量按研究问题组合使用；实体变量必须和对应质量变量一起解释。</x:v>
      </x:c>
      <x:c r="B2" s="7"/>
      <x:c r="C2" s="7"/>
      <x:c r="D2" s="7"/>
      <x:c r="E2" s="7"/>
      <x:c r="F2" s="7"/>
      <x:c r="G2" s="7"/>
      <x:c r="H2" s="7"/>
    </x:row>
    <x:row r="3">
      <x:c r="A3" s="11"/>
      <x:c r="B3" s="11"/>
      <x:c r="C3" s="11"/>
      <x:c r="D3" s="11"/>
      <x:c r="E3" s="11"/>
      <x:c r="F3" s="11"/>
      <x:c r="G3" s="11"/>
      <x:c r="H3" s="11"/>
    </x:row>
    <x:row r="4" ht="32" customHeight="1">
      <x:c r="A4" s="46" t="str">
        <x:v>组合ID</x:v>
      </x:c>
      <x:c r="B4" s="47" t="str">
        <x:v>组合名称</x:v>
      </x:c>
      <x:c r="C4" s="47" t="str">
        <x:v>主变量</x:v>
      </x:c>
      <x:c r="D4" s="47" t="str">
        <x:v>替代/补充变量</x:v>
      </x:c>
      <x:c r="E4" s="47" t="str">
        <x:v>强制质量伴随</x:v>
      </x:c>
      <x:c r="F4" s="47" t="str">
        <x:v>允许模式</x:v>
      </x:c>
      <x:c r="G4" s="47" t="str">
        <x:v>为什么这样组合</x:v>
      </x:c>
      <x:c r="H4" s="48" t="str">
        <x:v>后续选择轴</x:v>
      </x:c>
    </x:row>
    <x:row r="5" ht="105" customHeight="1">
      <x:c r="A5" s="59" t="str">
        <x:v>B01</x:v>
      </x:c>
      <x:c r="B5" s="59" t="str">
        <x:v>融资强度与规模</x:v>
      </x:c>
      <x:c r="C5" s="59" t="str">
        <x:v>CV002、CV003、CV005、CV007、CV008</x:v>
      </x:c>
      <x:c r="D5" s="59" t="str">
        <x:v>CV001；CV004、CV006仅作替代/敏感性</x:v>
      </x:c>
      <x:c r="E5" s="59" t="str">
        <x:v>CV027、CV028、CV030、CV032</x:v>
      </x:c>
      <x:c r="F5" s="59" t="str">
        <x:v>横向描述</x:v>
      </x:c>
      <x:c r="G5" s="59" t="str">
        <x:v>把是否融资、轮数、金额下限、单轮规模与集中度拆开，避免用单一金额代表完整融资画像。</x:v>
      </x:c>
      <x:c r="H5" s="59" t="str">
        <x:v>S1融资画像差异</x:v>
      </x:c>
    </x:row>
    <x:row r="6" ht="105" customHeight="1">
      <x:c r="A6" s="59" t="str">
        <x:v>B02</x:v>
      </x:c>
      <x:c r="B6" s="59" t="str">
        <x:v>融资节奏</x:v>
      </x:c>
      <x:c r="C6" s="59" t="str">
        <x:v>CV009、CV010</x:v>
      </x:c>
      <x:c r="D6" s="59" t="str">
        <x:v>无</x:v>
      </x:c>
      <x:c r="E6" s="59" t="str">
        <x:v>CV029与条件适用N</x:v>
      </x:c>
      <x:c r="F6" s="59" t="str">
        <x:v>条件描述</x:v>
      </x:c>
      <x:c r="G6" s="59" t="str">
        <x:v>跨度与典型间隔分别反映路径长度和节奏；只对至少两轮且日期可用的公司有定义。</x:v>
      </x:c>
      <x:c r="H6" s="59" t="str">
        <x:v>S1的条件补充</x:v>
      </x:c>
    </x:row>
    <x:row r="7" ht="105" customHeight="1">
      <x:c r="A7" s="59" t="str">
        <x:v>B03</x:v>
      </x:c>
      <x:c r="B7" s="59" t="str">
        <x:v>PE/VC参与与深度</x:v>
      </x:c>
      <x:c r="C7" s="59" t="str">
        <x:v>CV011、CV012、CV013、CV014</x:v>
      </x:c>
      <x:c r="D7" s="59" t="str">
        <x:v>无</x:v>
      </x:c>
      <x:c r="E7" s="59" t="str">
        <x:v>法律主体口径、有效N、warning_code</x:v>
      </x:c>
      <x:c r="F7" s="59" t="str">
        <x:v>横向描述</x:v>
      </x:c>
      <x:c r="G7" s="59" t="str">
        <x:v>是否参与、主体数、主体占比和参与轮数是层级结构，不应相互替代。</x:v>
      </x:c>
      <x:c r="H7" s="59" t="str">
        <x:v>S2 PE/VC差异</x:v>
      </x:c>
    </x:row>
    <x:row r="8" ht="105" customHeight="1">
      <x:c r="A8" s="59" t="str">
        <x:v>B04</x:v>
      </x:c>
      <x:c r="B8" s="59" t="str">
        <x:v>PE/VC进入与路径</x:v>
      </x:c>
      <x:c r="C8" s="59" t="str">
        <x:v>CV015、CV017、CV018、CV019</x:v>
      </x:c>
      <x:c r="D8" s="59" t="str">
        <x:v>CV016为CV015的年份化替代</x:v>
      </x:c>
      <x:c r="E8" s="59" t="str">
        <x:v>CV011、CV012、路径证据与适用N</x:v>
      </x:c>
      <x:c r="F8" s="59" t="str">
        <x:v>案例为主</x:v>
      </x:c>
      <x:c r="G8" s="59" t="str">
        <x:v>进入日期、轮次位置、间接路径和方式多样性用于解释进入机制，不用于小样本总体推断。</x:v>
      </x:c>
      <x:c r="H8" s="59" t="str">
        <x:v>S2的机制补充</x:v>
      </x:c>
    </x:row>
    <x:row r="9" ht="105" customHeight="1">
      <x:c r="A9" s="59" t="str">
        <x:v>B05</x:v>
      </x:c>
      <x:c r="B9" s="59" t="str">
        <x:v>参与主体结构</x:v>
      </x:c>
      <x:c r="C9" s="59" t="str">
        <x:v>CV020、CV021、CV022</x:v>
      </x:c>
      <x:c r="D9" s="59" t="str">
        <x:v>无</x:v>
      </x:c>
      <x:c r="E9" s="59" t="str">
        <x:v>CV002、角色映射/简称桥接警告</x:v>
      </x:c>
      <x:c r="F9" s="59" t="str">
        <x:v>横向描述</x:v>
      </x:c>
      <x:c r="G9" s="59" t="str">
        <x:v>直接参与主体、融资投资方与每轮密度对应不同参与口径，不能把法律主体数解释为投资体系数。</x:v>
      </x:c>
      <x:c r="H9" s="59" t="str">
        <x:v>S3结构丰富度</x:v>
      </x:c>
    </x:row>
    <x:row r="10" ht="105" customHeight="1">
      <x:c r="A10" s="59" t="str">
        <x:v>B06</x:v>
      </x:c>
      <x:c r="B10" s="59" t="str">
        <x:v>一级/二级交易</x:v>
      </x:c>
      <x:c r="C10" s="59" t="str">
        <x:v>CV024；条件使用CV025</x:v>
      </x:c>
      <x:c r="D10" s="59" t="str">
        <x:v>CV026为依赖型案例比值</x:v>
      </x:c>
      <x:c r="E10" s="59" t="str">
        <x:v>CV003、CV025及双方金额状态</x:v>
      </x:c>
      <x:c r="F10" s="59" t="str">
        <x:v>横向+条件+案例</x:v>
      </x:c>
      <x:c r="G10" s="59" t="str">
        <x:v>交易数、转让对价与一级/二级比值必须分层使用，禁止把转让对价计入发行人融资。</x:v>
      </x:c>
      <x:c r="H10" s="59" t="str">
        <x:v>S4一级/二级差异</x:v>
      </x:c>
    </x:row>
    <x:row r="11" ht="105" customHeight="1">
      <x:c r="A11" s="60" t="str">
        <x:v>B07</x:v>
      </x:c>
      <x:c r="B11" s="60" t="str">
        <x:v>数据质量与证据</x:v>
      </x:c>
      <x:c r="C11" s="60" t="str">
        <x:v>CV027—CV032</x:v>
      </x:c>
      <x:c r="D11" s="60" t="str">
        <x:v>无</x:v>
      </x:c>
      <x:c r="E11" s="60" t="str">
        <x:v>与所解释的实体变量同屏</x:v>
      </x:c>
      <x:c r="F11" s="60" t="str">
        <x:v>强制闸门</x:v>
      </x:c>
      <x:c r="G11" s="60" t="str">
        <x:v>覆盖率、计算来源、证据密度与披露限制决定解释强度，但不评价公司本身。</x:v>
      </x:c>
      <x:c r="H11" s="60" t="str">
        <x:v>S5质量闸门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32" hidden="0" customWidth="1"/>
    <x:col min="3" max="3" width="30" hidden="0" customWidth="1"/>
    <x:col min="4" max="4" width="52" hidden="0" customWidth="1"/>
    <x:col min="5" max="5" width="48" hidden="0" customWidth="1"/>
    <x:col min="6" max="6" width="78" hidden="0" customWidth="1"/>
  </x:cols>
  <x:sheetData>
    <x:row r="1" ht="32" customHeight="1">
      <x:c r="A1" s="3" t="str">
        <x:v>冗余、替代与依赖关系</x:v>
      </x:c>
      <x:c r="B1" s="3"/>
      <x:c r="C1" s="3"/>
      <x:c r="D1" s="3"/>
      <x:c r="E1" s="3"/>
      <x:c r="F1" s="3"/>
    </x:row>
    <x:row r="2" ht="44" customHeight="1">
      <x:c r="A2" s="7" t="str">
        <x:v>先处理同构变量和派生变量，再进入案例选择，防止重复计量和错误插补。</x:v>
      </x:c>
      <x:c r="B2" s="7"/>
      <x:c r="C2" s="7"/>
      <x:c r="D2" s="7"/>
      <x:c r="E2" s="7"/>
      <x:c r="F2" s="7"/>
    </x:row>
    <x:row r="3">
      <x:c r="A3" s="11"/>
      <x:c r="B3" s="11"/>
      <x:c r="C3" s="11"/>
      <x:c r="D3" s="11"/>
      <x:c r="E3" s="11"/>
      <x:c r="F3" s="11"/>
    </x:row>
    <x:row r="4" ht="32" customHeight="1">
      <x:c r="A4" s="46" t="str">
        <x:v>规则ID</x:v>
      </x:c>
      <x:c r="B4" s="47" t="str">
        <x:v>变量关系</x:v>
      </x:c>
      <x:c r="C4" s="47" t="str">
        <x:v>关系类型</x:v>
      </x:c>
      <x:c r="D4" s="47" t="str">
        <x:v>决策</x:v>
      </x:c>
      <x:c r="E4" s="47" t="str">
        <x:v>使用规则</x:v>
      </x:c>
      <x:c r="F4" s="48" t="str">
        <x:v>理由</x:v>
      </x:c>
    </x:row>
    <x:row r="5" ht="96" customHeight="1">
      <x:c r="A5" s="59" t="str">
        <x:v>R01</x:v>
      </x:c>
      <x:c r="B5" s="59" t="str">
        <x:v>CV003 vs CV004</x:v>
      </x:c>
      <x:c r="C5" s="59" t="str">
        <x:v>原值与对数变换</x:v>
      </x:c>
      <x:c r="D5" s="59" t="str">
        <x:v>CV003为描述主变量；CV004仅作替代建模</x:v>
      </x:c>
      <x:c r="E5" s="59" t="str">
        <x:v>同一分析中二选一</x:v>
      </x:c>
      <x:c r="F5" s="59" t="str">
        <x:v>对数只改变尺度，不增加样本信息；n=7不需要为分布拟合制造精度。</x:v>
      </x:c>
    </x:row>
    <x:row r="6" ht="96" customHeight="1">
      <x:c r="A6" s="59" t="str">
        <x:v>R02</x:v>
      </x:c>
      <x:c r="B6" s="59" t="str">
        <x:v>CV005 vs CV006</x:v>
      </x:c>
      <x:c r="C6" s="59" t="str">
        <x:v>均值与中位数</x:v>
      </x:c>
      <x:c r="D6" s="59" t="str">
        <x:v>CV005为主；CV006作稳健性/敏感性</x:v>
      </x:c>
      <x:c r="E6" s="59" t="str">
        <x:v>不得在同一小样本模型中同时堆叠</x:v>
      </x:c>
      <x:c r="F6" s="59" t="str">
        <x:v>二者都描述已知金额轮次的典型规模，但受轮次少和披露下限共同约束。</x:v>
      </x:c>
    </x:row>
    <x:row r="7" ht="96" customHeight="1">
      <x:c r="A7" s="59" t="str">
        <x:v>R03</x:v>
      </x:c>
      <x:c r="B7" s="59" t="str">
        <x:v>CV015 vs CV016</x:v>
      </x:c>
      <x:c r="C7" s="59" t="str">
        <x:v>完整日期与年份</x:v>
      </x:c>
      <x:c r="D7" s="59" t="str">
        <x:v>CV015用于案例时间线；CV016仅作分组表达</x:v>
      </x:c>
      <x:c r="E7" s="59" t="str">
        <x:v>不作为两个独立维度计分</x:v>
      </x:c>
      <x:c r="F7" s="59" t="str">
        <x:v>年份由日期派生，信息更粗。</x:v>
      </x:c>
    </x:row>
    <x:row r="8" ht="96" customHeight="1">
      <x:c r="A8" s="59" t="str">
        <x:v>R04</x:v>
      </x:c>
      <x:c r="B8" s="59" t="str">
        <x:v>CV001 vs CV023</x:v>
      </x:c>
      <x:c r="C8" s="59" t="str">
        <x:v>融资发生与融资方式多样性</x:v>
      </x:c>
      <x:c r="D8" s="59" t="str">
        <x:v>保留CV001；CV023暂缓</x:v>
      </x:c>
      <x:c r="E8" s="59" t="str">
        <x:v>扩样后重新检验</x:v>
      </x:c>
      <x:c r="F8" s="59" t="str">
        <x:v>当前八家公司取值完全重合，CV023没有增量信息。</x:v>
      </x:c>
    </x:row>
    <x:row r="9" ht="96" customHeight="1">
      <x:c r="A9" s="59" t="str">
        <x:v>R05</x:v>
      </x:c>
      <x:c r="B9" s="59" t="str">
        <x:v>CV020 vs CV021</x:v>
      </x:c>
      <x:c r="C9" s="59" t="str">
        <x:v>直接参与主体与融资投资方</x:v>
      </x:c>
      <x:c r="D9" s="59" t="str">
        <x:v>两者均保留</x:v>
      </x:c>
      <x:c r="E9" s="59" t="str">
        <x:v>并列呈现不同口径</x:v>
      </x:c>
      <x:c r="F9" s="59" t="str">
        <x:v>前者覆盖直接参与法律主体，后者聚焦融资投资方，不是同义计数。</x:v>
      </x:c>
    </x:row>
    <x:row r="10" ht="96" customHeight="1">
      <x:c r="A10" s="59" t="str">
        <x:v>R06</x:v>
      </x:c>
      <x:c r="B10" s="59" t="str">
        <x:v>CV011—CV014</x:v>
      </x:c>
      <x:c r="C10" s="59" t="str">
        <x:v>PE/VC参与层级</x:v>
      </x:c>
      <x:c r="D10" s="59" t="str">
        <x:v>整体保留为层级组合</x:v>
      </x:c>
      <x:c r="E10" s="59" t="str">
        <x:v>从发生—主体—占比—轮次逐层解释</x:v>
      </x:c>
      <x:c r="F10" s="59" t="str">
        <x:v>四项分别回答是否、多少、相对比重和参与深度。</x:v>
      </x:c>
    </x:row>
    <x:row r="11" ht="96" customHeight="1">
      <x:c r="A11" s="59" t="str">
        <x:v>R07</x:v>
      </x:c>
      <x:c r="B11" s="59" t="str">
        <x:v>CV027/CV028/CV030</x:v>
      </x:c>
      <x:c r="C11" s="59" t="str">
        <x:v>金额质量伴随</x:v>
      </x:c>
      <x:c r="D11" s="59" t="str">
        <x:v>全部保留</x:v>
      </x:c>
      <x:c r="E11" s="59" t="str">
        <x:v>与金额变量联用，不合成质量总分</x:v>
      </x:c>
      <x:c r="F11" s="59" t="str">
        <x:v>已知轮数、覆盖率和计算型金额占比反映不同质量维度。</x:v>
      </x:c>
    </x:row>
    <x:row r="12" ht="96" customHeight="1">
      <x:c r="A12" s="60" t="str">
        <x:v>R08</x:v>
      </x:c>
      <x:c r="B12" s="60" t="str">
        <x:v>CV025 vs CV026</x:v>
      </x:c>
      <x:c r="C12" s="60" t="str">
        <x:v>转让对价与一级/二级比值</x:v>
      </x:c>
      <x:c r="D12" s="60" t="str">
        <x:v>CV025条件描述；CV026案例使用</x:v>
      </x:c>
      <x:c r="E12" s="60" t="str">
        <x:v>CV026仅在CV003和CV025均有效时计算</x:v>
      </x:c>
      <x:c r="F12" s="60" t="str">
        <x:v>比值依赖两个金额下限，缺任一输入都必须保持null。</x:v>
      </x:c>
    </x:row>
  </x:sheetData>
  <x:mergeCells>
    <x:mergeCell ref="A1:F1"/>
    <x:mergeCell ref="A2:F2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30" hidden="0" customWidth="1"/>
    <x:col min="3" max="3" width="60" hidden="0" customWidth="1"/>
    <x:col min="4" max="4" width="34" hidden="0" customWidth="1"/>
    <x:col min="5" max="5" width="84" hidden="0" customWidth="1"/>
  </x:cols>
  <x:sheetData>
    <x:row r="1" ht="32" customHeight="1">
      <x:c r="A1" s="3" t="str">
        <x:v>后续选择的核心变量集</x:v>
      </x:c>
      <x:c r="B1" s="3"/>
      <x:c r="C1" s="3"/>
      <x:c r="D1" s="3"/>
      <x:c r="E1" s="3"/>
    </x:row>
    <x:row r="2" ht="44" customHeight="1">
      <x:c r="A2" s="7" t="str">
        <x:v>这是使用角色清单，不是变量排名；集合可重叠，替代变量不得与对应主变量重复计量。</x:v>
      </x:c>
      <x:c r="B2" s="7"/>
      <x:c r="C2" s="7"/>
      <x:c r="D2" s="7"/>
      <x:c r="E2" s="7"/>
    </x:row>
    <x:row r="3">
      <x:c r="A3" s="11"/>
      <x:c r="B3" s="11"/>
      <x:c r="C3" s="11"/>
      <x:c r="D3" s="11"/>
      <x:c r="E3" s="11"/>
    </x:row>
    <x:row r="4" ht="32" customHeight="1">
      <x:c r="A4" s="46" t="str">
        <x:v>集合ID</x:v>
      </x:c>
      <x:c r="B4" s="47" t="str">
        <x:v>集合</x:v>
      </x:c>
      <x:c r="C4" s="47" t="str">
        <x:v>变量</x:v>
      </x:c>
      <x:c r="D4" s="47" t="str">
        <x:v>进入方式</x:v>
      </x:c>
      <x:c r="E4" s="48" t="str">
        <x:v>定义理由</x:v>
      </x:c>
    </x:row>
    <x:row r="5" ht="88" customHeight="1">
      <x:c r="A5" s="59" t="str">
        <x:v>SET01</x:v>
      </x:c>
      <x:c r="B5" s="59" t="str">
        <x:v>基础横向核心</x:v>
      </x:c>
      <x:c r="C5" s="59" t="str">
        <x:v>CV002、CV003、CV011、CV012、CV014、CV020、CV021、CV024</x:v>
      </x:c>
      <x:c r="D5" s="59" t="str">
        <x:v>最小可比较矩阵</x:v>
      </x:c>
      <x:c r="E5" s="59" t="str">
        <x:v>覆盖融资频度/规模、PE/VC、参与结构和二级交易四个主构念。</x:v>
      </x:c>
    </x:row>
    <x:row r="6" ht="88" customHeight="1">
      <x:c r="A6" s="59" t="str">
        <x:v>SET02</x:v>
      </x:c>
      <x:c r="B6" s="59" t="str">
        <x:v>差异增强变量</x:v>
      </x:c>
      <x:c r="C6" s="59" t="str">
        <x:v>CV005、CV007、CV008、CV013、CV022</x:v>
      </x:c>
      <x:c r="D6" s="59" t="str">
        <x:v>在基础矩阵之上增加</x:v>
      </x:c>
      <x:c r="E6" s="59" t="str">
        <x:v>补充单轮规模、峰值、集中度、PE/VC比重与参与密度。</x:v>
      </x:c>
    </x:row>
    <x:row r="7" ht="88" customHeight="1">
      <x:c r="A7" s="59" t="str">
        <x:v>SET03</x:v>
      </x:c>
      <x:c r="B7" s="59" t="str">
        <x:v>画像入口状态</x:v>
      </x:c>
      <x:c r="C7" s="59" t="str">
        <x:v>CV001</x:v>
      </x:c>
      <x:c r="D7" s="59" t="str">
        <x:v>用于分组和状态说明</x:v>
      </x:c>
      <x:c r="E7" s="59" t="str">
        <x:v>发生标记直观但信息量有限，不能替代融资轮数。</x:v>
      </x:c>
    </x:row>
    <x:row r="8" ht="88" customHeight="1">
      <x:c r="A8" s="59" t="str">
        <x:v>SET04</x:v>
      </x:c>
      <x:c r="B8" s="59" t="str">
        <x:v>条件节奏变量</x:v>
      </x:c>
      <x:c r="C8" s="59" t="str">
        <x:v>CV009、CV010</x:v>
      </x:c>
      <x:c r="D8" s="59" t="str">
        <x:v>只在适用公司内比较</x:v>
      </x:c>
      <x:c r="E8" s="59" t="str">
        <x:v>避免把结构性不适用或日期不足当作0。</x:v>
      </x:c>
    </x:row>
    <x:row r="9" ht="88" customHeight="1">
      <x:c r="A9" s="59" t="str">
        <x:v>SET05</x:v>
      </x:c>
      <x:c r="B9" s="59" t="str">
        <x:v>案例路径变量</x:v>
      </x:c>
      <x:c r="C9" s="59" t="str">
        <x:v>CV015、CV017、CV018、CV019</x:v>
      </x:c>
      <x:c r="D9" s="59" t="str">
        <x:v>时间线与机制叙事</x:v>
      </x:c>
      <x:c r="E9" s="59" t="str">
        <x:v>用于解释PE/VC何时、以何种路径进入。</x:v>
      </x:c>
    </x:row>
    <x:row r="10" ht="88" customHeight="1">
      <x:c r="A10" s="59" t="str">
        <x:v>SET06</x:v>
      </x:c>
      <x:c r="B10" s="59" t="str">
        <x:v>二级金额补充</x:v>
      </x:c>
      <x:c r="C10" s="59" t="str">
        <x:v>CV025、CV026</x:v>
      </x:c>
      <x:c r="D10" s="59" t="str">
        <x:v>条件/案例</x:v>
      </x:c>
      <x:c r="E10" s="59" t="str">
        <x:v>转让金额下限与比值不能作为全样本横向核心。</x:v>
      </x:c>
    </x:row>
    <x:row r="11" ht="88" customHeight="1">
      <x:c r="A11" s="59" t="str">
        <x:v>SET07</x:v>
      </x:c>
      <x:c r="B11" s="59" t="str">
        <x:v>强制质量闸门</x:v>
      </x:c>
      <x:c r="C11" s="59" t="str">
        <x:v>CV027—CV032</x:v>
      </x:c>
      <x:c r="D11" s="59" t="str">
        <x:v>所有实体分析必须伴随</x:v>
      </x:c>
      <x:c r="E11" s="59" t="str">
        <x:v>控制金额、日期、计算来源、证据与披露限制。</x:v>
      </x:c>
    </x:row>
    <x:row r="12" ht="88" customHeight="1">
      <x:c r="A12" s="59" t="str">
        <x:v>SET08</x:v>
      </x:c>
      <x:c r="B12" s="59" t="str">
        <x:v>替代/敏感性</x:v>
      </x:c>
      <x:c r="C12" s="59" t="str">
        <x:v>CV004、CV006、CV016</x:v>
      </x:c>
      <x:c r="D12" s="59" t="str">
        <x:v>与对应主变量二选一</x:v>
      </x:c>
      <x:c r="E12" s="59" t="str">
        <x:v>防止重复计量同一构念。</x:v>
      </x:c>
    </x:row>
    <x:row r="13" ht="88" customHeight="1">
      <x:c r="A13" s="60" t="str">
        <x:v>SET09</x:v>
      </x:c>
      <x:c r="B13" s="60" t="str">
        <x:v>暂缓变量</x:v>
      </x:c>
      <x:c r="C13" s="60" t="str">
        <x:v>CV023</x:v>
      </x:c>
      <x:c r="D13" s="60" t="str">
        <x:v>不进入当前选择矩阵</x:v>
      </x:c>
      <x:c r="E13" s="60" t="str">
        <x:v>当前样本完全冗余，保留定义以待扩样。</x:v>
      </x:c>
    </x:row>
  </x:sheetData>
  <x:mergeCells>
    <x:mergeCell ref="A1:E1"/>
    <x:mergeCell ref="A2:E2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30" hidden="0" customWidth="1"/>
    <x:col min="3" max="3" width="44" hidden="0" customWidth="1"/>
    <x:col min="4" max="4" width="56" hidden="0" customWidth="1"/>
    <x:col min="5" max="5" width="34" hidden="0" customWidth="1"/>
    <x:col min="6" max="6" width="34" hidden="0" customWidth="1"/>
    <x:col min="7" max="7" width="38" hidden="0" customWidth="1"/>
    <x:col min="8" max="8" width="50" hidden="0" customWidth="1"/>
    <x:col min="9" max="9" width="62" hidden="0" customWidth="1"/>
  </x:cols>
  <x:sheetData>
    <x:row r="1" ht="32" customHeight="1">
      <x:c r="A1" s="3" t="str">
        <x:v>代表性公司选择框架（尚未应用）</x:v>
      </x:c>
      <x:c r="B1" s="3"/>
      <x:c r="C1" s="3"/>
      <x:c r="D1" s="3"/>
      <x:c r="E1" s="3"/>
      <x:c r="F1" s="3"/>
      <x:c r="G1" s="3"/>
      <x:c r="H1" s="3"/>
      <x:c r="I1" s="3"/>
    </x:row>
    <x:row r="2" ht="44" customHeight="1">
      <x:c r="A2" s="7" t="str">
        <x:v>先过进入闸门，再按6个轴形成差异画像，最后检查组合约束；不设置公司总分或自动排名。</x:v>
      </x:c>
      <x:c r="B2" s="7"/>
      <x:c r="C2" s="7"/>
      <x:c r="D2" s="7"/>
      <x:c r="E2" s="7"/>
      <x:c r="F2" s="7"/>
      <x:c r="G2" s="7"/>
      <x:c r="H2" s="7"/>
      <x:c r="I2" s="7"/>
    </x:row>
    <x:row r="3">
      <x:c r="A3" s="11"/>
      <x:c r="B3" s="11"/>
      <x:c r="C3" s="11"/>
      <x:c r="D3" s="11"/>
      <x:c r="E3" s="11"/>
      <x:c r="F3" s="11"/>
      <x:c r="G3" s="11"/>
      <x:c r="H3" s="11"/>
      <x:c r="I3" s="11"/>
    </x:row>
    <x:row r="4" ht="24" customHeight="1">
      <x:c r="A4" s="9" t="str">
        <x:v>A. 六个评价轴（每轴0—2，仅用于结构化讨论）</x:v>
      </x:c>
      <x:c r="B4" s="9"/>
      <x:c r="C4" s="9"/>
      <x:c r="D4" s="9"/>
      <x:c r="E4" s="9"/>
      <x:c r="F4" s="9"/>
      <x:c r="G4" s="9"/>
      <x:c r="H4" s="9"/>
      <x:c r="I4" s="9"/>
    </x:row>
    <x:row r="5" ht="32" customHeight="1">
      <x:c r="A5" s="46" t="str">
        <x:v>轴ID</x:v>
      </x:c>
      <x:c r="B5" s="47" t="str">
        <x:v>评价轴</x:v>
      </x:c>
      <x:c r="C5" s="47" t="str">
        <x:v>候选变量</x:v>
      </x:c>
      <x:c r="D5" s="47" t="str">
        <x:v>评价问题</x:v>
      </x:c>
      <x:c r="E5" s="47" t="str">
        <x:v>0分锚点</x:v>
      </x:c>
      <x:c r="F5" s="47" t="str">
        <x:v>1分锚点</x:v>
      </x:c>
      <x:c r="G5" s="47" t="str">
        <x:v>2分锚点</x:v>
      </x:c>
      <x:c r="H5" s="47" t="str">
        <x:v>强制伴随</x:v>
      </x:c>
      <x:c r="I5" s="48" t="str">
        <x:v>解释边界</x:v>
      </x:c>
    </x:row>
    <x:row r="6" ht="112" customHeight="1">
      <x:c r="A6" s="59" t="str">
        <x:v>S1</x:v>
      </x:c>
      <x:c r="B6" s="59" t="str">
        <x:v>融资画像差异</x:v>
      </x:c>
      <x:c r="C6" s="59" t="str">
        <x:v>CV002、CV003、CV005、CV007、CV008</x:v>
      </x:c>
      <x:c r="D6" s="59" t="str">
        <x:v>融资频度、规模与集中度是否形成可解释差异</x:v>
      </x:c>
      <x:c r="E6" s="59" t="str">
        <x:v>信息不足或仅状态差异</x:v>
      </x:c>
      <x:c r="F6" s="59" t="str">
        <x:v>一个可解释维度</x:v>
      </x:c>
      <x:c r="G6" s="59" t="str">
        <x:v>两个及以上相互印证的差异</x:v>
      </x:c>
      <x:c r="H6" s="59" t="str">
        <x:v>CV027、CV028、CV030、CV032</x:v>
      </x:c>
      <x:c r="I6" s="59" t="str">
        <x:v>金额下限不是企业价值或融资能力</x:v>
      </x:c>
    </x:row>
    <x:row r="7" ht="112" customHeight="1">
      <x:c r="A7" s="59" t="str">
        <x:v>S2</x:v>
      </x:c>
      <x:c r="B7" s="59" t="str">
        <x:v>PE/VC参与与路径独特性</x:v>
      </x:c>
      <x:c r="C7" s="59" t="str">
        <x:v>CV011—CV019</x:v>
      </x:c>
      <x:c r="D7" s="59" t="str">
        <x:v>是否存在不同的参与深度、进入时点或直接/间接路径</x:v>
      </x:c>
      <x:c r="E7" s="59" t="str">
        <x:v>无可识别差异</x:v>
      </x:c>
      <x:c r="F7" s="59" t="str">
        <x:v>参与结构有一项差异</x:v>
      </x:c>
      <x:c r="G7" s="59" t="str">
        <x:v>参与深度与路径形成清晰组合</x:v>
      </x:c>
      <x:c r="H7" s="59" t="str">
        <x:v>法律主体口径、路径证据、适用N</x:v>
      </x:c>
      <x:c r="I7" s="59" t="str">
        <x:v>未确认不等于绝对不存在</x:v>
      </x:c>
    </x:row>
    <x:row r="8" ht="112" customHeight="1">
      <x:c r="A8" s="59" t="str">
        <x:v>S3</x:v>
      </x:c>
      <x:c r="B8" s="59" t="str">
        <x:v>参与主体结构丰富度</x:v>
      </x:c>
      <x:c r="C8" s="59" t="str">
        <x:v>CV020—CV022</x:v>
      </x:c>
      <x:c r="D8" s="59" t="str">
        <x:v>直接主体、投资方广度与密度是否提供独立结构信息</x:v>
      </x:c>
      <x:c r="E8" s="59" t="str">
        <x:v>信息有限</x:v>
      </x:c>
      <x:c r="F8" s="59" t="str">
        <x:v>一个结构维度清晰</x:v>
      </x:c>
      <x:c r="G8" s="59" t="str">
        <x:v>多个维度清晰且口径可复核</x:v>
      </x:c>
      <x:c r="H8" s="59" t="str">
        <x:v>CV002与角色映射警告</x:v>
      </x:c>
      <x:c r="I8" s="59" t="str">
        <x:v>主体多不等于治理优或融资质量高</x:v>
      </x:c>
    </x:row>
    <x:row r="9" ht="112" customHeight="1">
      <x:c r="A9" s="59" t="str">
        <x:v>S4</x:v>
      </x:c>
      <x:c r="B9" s="59" t="str">
        <x:v>一级/二级交易差异</x:v>
      </x:c>
      <x:c r="C9" s="59" t="str">
        <x:v>CV024—CV026</x:v>
      </x:c>
      <x:c r="D9" s="59" t="str">
        <x:v>是否能形成发行人融资与股东转让的对照</x:v>
      </x:c>
      <x:c r="E9" s="59" t="str">
        <x:v>无二级交易或不可解释</x:v>
      </x:c>
      <x:c r="F9" s="59" t="str">
        <x:v>交易数可用</x:v>
      </x:c>
      <x:c r="G9" s="59" t="str">
        <x:v>交易数与金额/比值形成可审计案例</x:v>
      </x:c>
      <x:c r="H9" s="59" t="str">
        <x:v>CV003、CV025及双方金额状态</x:v>
      </x:c>
      <x:c r="I9" s="59" t="str">
        <x:v>转让对价不得计入公司融资</x:v>
      </x:c>
    </x:row>
    <x:row r="10" ht="112" customHeight="1">
      <x:c r="A10" s="59" t="str">
        <x:v>S5</x:v>
      </x:c>
      <x:c r="B10" s="59" t="str">
        <x:v>数据质量与证据完备性</x:v>
      </x:c>
      <x:c r="C10" s="59" t="str">
        <x:v>CV027—CV032</x:v>
      </x:c>
      <x:c r="D10" s="59" t="str">
        <x:v>所选实体变量是否有足够覆盖、证据和边界说明</x:v>
      </x:c>
      <x:c r="E10" s="59" t="str">
        <x:v>关键链条不可审计</x:v>
      </x:c>
      <x:c r="F10" s="59" t="str">
        <x:v>可用但有显著限制</x:v>
      </x:c>
      <x:c r="G10" s="59" t="str">
        <x:v>关键链条完整且限制透明</x:v>
      </x:c>
      <x:c r="H10" s="59" t="str">
        <x:v>质量变量本身</x:v>
      </x:c>
      <x:c r="I10" s="59" t="str">
        <x:v>只决定解释强度，不评价公司质量</x:v>
      </x:c>
    </x:row>
    <x:row r="11" ht="112" customHeight="1">
      <x:c r="A11" s="60" t="str">
        <x:v>S6</x:v>
      </x:c>
      <x:c r="B11" s="60" t="str">
        <x:v>案例组合互补性</x:v>
      </x:c>
      <x:c r="C11" s="60" t="str">
        <x:v>前五轴的分类结果</x:v>
      </x:c>
      <x:c r="D11" s="60" t="str">
        <x:v>候选公司是否补充已选案例而非重复同一模式</x:v>
      </x:c>
      <x:c r="E11" s="60" t="str">
        <x:v>高度重复</x:v>
      </x:c>
      <x:c r="F11" s="60" t="str">
        <x:v>补充一个维度</x:v>
      </x:c>
      <x:c r="G11" s="60" t="str">
        <x:v>形成明显对照或边界案例</x:v>
      </x:c>
      <x:c r="H11" s="60" t="str">
        <x:v>先完成单公司轴评估</x:v>
      </x:c>
      <x:c r="I11" s="60" t="str">
        <x:v>互补性是组合属性，不是公司优劣</x:v>
      </x:c>
    </x:row>
    <x:row r="12">
      <x:c r="A12" s="11"/>
      <x:c r="B12" s="11"/>
      <x:c r="C12" s="11"/>
      <x:c r="D12" s="11"/>
      <x:c r="E12" s="11"/>
      <x:c r="F12" s="11"/>
      <x:c r="G12" s="11"/>
      <x:c r="H12" s="11"/>
      <x:c r="I12" s="11"/>
    </x:row>
    <x:row r="13" ht="24" customHeight="1">
      <x:c r="A13" s="9" t="str">
        <x:v>B. 进入与否闸门</x:v>
      </x:c>
      <x:c r="B13" s="9"/>
      <x:c r="C13" s="9"/>
      <x:c r="D13" s="9"/>
      <x:c r="E13" s="9"/>
      <x:c r="F13" s="9"/>
      <x:c r="G13" s="9"/>
      <x:c r="H13" s="9"/>
      <x:c r="I13" s="9"/>
    </x:row>
    <x:row r="14" ht="32" customHeight="1">
      <x:c r="A14" s="46" t="str">
        <x:v>闸门ID</x:v>
      </x:c>
      <x:c r="B14" s="47" t="str">
        <x:v>闸门</x:v>
      </x:c>
      <x:c r="C14" s="47" t="str">
        <x:v>判定规则</x:v>
      </x:c>
      <x:c r="D14" s="48" t="str">
        <x:v>不满足时处理</x:v>
      </x:c>
      <x:c r="E14" s="11"/>
      <x:c r="F14" s="11"/>
      <x:c r="G14" s="11"/>
      <x:c r="H14" s="11"/>
      <x:c r="I14" s="11"/>
    </x:row>
    <x:row r="15" ht="78" customHeight="1">
      <x:c r="A15" s="61" t="str">
        <x:v>G0</x:v>
      </x:c>
      <x:c r="B15" s="61" t="str">
        <x:v>关键可计算性</x:v>
      </x:c>
      <x:c r="C15" s="61" t="str">
        <x:v>核心变量不能由NOT_COMPUTABLE主导；null、STRUCTURAL_NA与0分别保留</x:v>
      </x:c>
      <x:c r="D15" s="61" t="str">
        <x:v>不满足则不能作为主实证案例，可转为缺失/方法边界案例</x:v>
      </x:c>
      <x:c r="E15" s="11"/>
      <x:c r="F15" s="11"/>
      <x:c r="G15" s="11"/>
      <x:c r="H15" s="11"/>
      <x:c r="I15" s="11"/>
    </x:row>
    <x:row r="16" ht="78" customHeight="1">
      <x:c r="A16" s="61" t="str">
        <x:v>G1</x:v>
      </x:c>
      <x:c r="B16" s="61" t="str">
        <x:v>实质差异</x:v>
      </x:c>
      <x:c r="C16" s="61" t="str">
        <x:v>至少一个实体轴存在可解释差异，不能仅靠规模极值</x:v>
      </x:c>
      <x:c r="D16" s="61" t="str">
        <x:v>不满足则不进入代表性候选</x:v>
      </x:c>
      <x:c r="E16" s="11"/>
      <x:c r="F16" s="11"/>
      <x:c r="G16" s="11"/>
      <x:c r="H16" s="11"/>
      <x:c r="I16" s="11"/>
    </x:row>
    <x:row r="17" ht="78" customHeight="1">
      <x:c r="A17" s="61" t="str">
        <x:v>G2</x:v>
      </x:c>
      <x:c r="B17" s="61" t="str">
        <x:v>证据可审计</x:v>
      </x:c>
      <x:c r="C17" s="61" t="str">
        <x:v>关键结论能追溯至冻结表、计算链和披露边界</x:v>
      </x:c>
      <x:c r="D17" s="61" t="str">
        <x:v>不满足则暂停选择并回到证据核查；不修改Week8冻结数据</x:v>
      </x:c>
      <x:c r="E17" s="11"/>
      <x:c r="F17" s="11"/>
      <x:c r="G17" s="11"/>
      <x:c r="H17" s="11"/>
      <x:c r="I17" s="11"/>
    </x:row>
    <x:row r="18" ht="78" customHeight="1">
      <x:c r="A18" s="62" t="str">
        <x:v>G3</x:v>
      </x:c>
      <x:c r="B18" s="62" t="str">
        <x:v>反单指标选择</x:v>
      </x:c>
      <x:c r="C18" s="62" t="str">
        <x:v>不得仅按融资金额、PE/VC数量或单一总分选公司</x:v>
      </x:c>
      <x:c r="D18" s="62" t="str">
        <x:v>必须同时说明质量闸门和组合互补性</x:v>
      </x:c>
      <x:c r="E18" s="11"/>
      <x:c r="F18" s="11"/>
      <x:c r="G18" s="11"/>
      <x:c r="H18" s="11"/>
      <x:c r="I18" s="11"/>
    </x:row>
    <x:row r="19">
      <x:c r="A19" s="11"/>
      <x:c r="B19" s="11"/>
      <x:c r="C19" s="11"/>
      <x:c r="D19" s="11"/>
      <x:c r="E19" s="11"/>
      <x:c r="F19" s="11"/>
      <x:c r="G19" s="11"/>
      <x:c r="H19" s="11"/>
      <x:c r="I19" s="11"/>
    </x:row>
    <x:row r="20" ht="24" customHeight="1">
      <x:c r="A20" s="9" t="str">
        <x:v>C. 代表性组合约束</x:v>
      </x:c>
      <x:c r="B20" s="9"/>
      <x:c r="C20" s="9"/>
      <x:c r="D20" s="9"/>
      <x:c r="E20" s="9"/>
      <x:c r="F20" s="9"/>
      <x:c r="G20" s="9"/>
      <x:c r="H20" s="9"/>
      <x:c r="I20" s="9"/>
    </x:row>
    <x:row r="21" ht="32" customHeight="1">
      <x:c r="A21" s="46" t="str">
        <x:v>约束ID</x:v>
      </x:c>
      <x:c r="B21" s="47" t="str">
        <x:v>约束</x:v>
      </x:c>
      <x:c r="C21" s="47" t="str">
        <x:v>组合要求</x:v>
      </x:c>
      <x:c r="D21" s="48" t="str">
        <x:v>理由</x:v>
      </x:c>
      <x:c r="E21" s="11"/>
      <x:c r="F21" s="11"/>
      <x:c r="G21" s="11"/>
      <x:c r="H21" s="11"/>
      <x:c r="I21" s="11"/>
    </x:row>
    <x:row r="22" ht="76" customHeight="1">
      <x:c r="A22" s="63" t="str">
        <x:v>P1</x:v>
      </x:c>
      <x:c r="B22" s="63" t="str">
        <x:v>PE/VC对照</x:v>
      </x:c>
      <x:c r="C22" s="63" t="str">
        <x:v>代表性组合至少含一家具备可识别PE/VC进入路径的案例</x:v>
      </x:c>
      <x:c r="D22" s="63" t="str">
        <x:v>保证机制问题有实体支撑</x:v>
      </x:c>
      <x:c r="E22" s="11"/>
      <x:c r="F22" s="11"/>
      <x:c r="G22" s="11"/>
      <x:c r="H22" s="11"/>
      <x:c r="I22" s="11"/>
    </x:row>
    <x:row r="23" ht="76" customHeight="1">
      <x:c r="A23" s="63" t="str">
        <x:v>P2</x:v>
      </x:c>
      <x:c r="B23" s="63" t="str">
        <x:v>非PE/VC或替代路径</x:v>
      </x:c>
      <x:c r="C23" s="63" t="str">
        <x:v>至少含一家冻结口径内未确认PE/VC或路径明显不同的案例</x:v>
      </x:c>
      <x:c r="D23" s="63" t="str">
        <x:v>形成对照，不解释为绝对无机构投资者</x:v>
      </x:c>
      <x:c r="E23" s="11"/>
      <x:c r="F23" s="11"/>
      <x:c r="G23" s="11"/>
      <x:c r="H23" s="11"/>
      <x:c r="I23" s="11"/>
    </x:row>
    <x:row r="24" ht="76" customHeight="1">
      <x:c r="A24" s="63" t="str">
        <x:v>P3</x:v>
      </x:c>
      <x:c r="B24" s="63" t="str">
        <x:v>二级交易覆盖</x:v>
      </x:c>
      <x:c r="C24" s="63" t="str">
        <x:v>若研究一级/二级关系，至少含一家转让数据可用的案例</x:v>
      </x:c>
      <x:c r="D24" s="63" t="str">
        <x:v>避免用全样本不可用变量支撑主题</x:v>
      </x:c>
      <x:c r="E24" s="11"/>
      <x:c r="F24" s="11"/>
      <x:c r="G24" s="11"/>
      <x:c r="H24" s="11"/>
      <x:c r="I24" s="11"/>
    </x:row>
    <x:row r="25" ht="76" customHeight="1">
      <x:c r="A25" s="64" t="str">
        <x:v>P4</x:v>
      </x:c>
      <x:c r="B25" s="64" t="str">
        <x:v>低披露案例定位</x:v>
      </x:c>
      <x:c r="C25" s="64" t="str">
        <x:v>低披露公司只可作为方法/边界案例，不作为核心实质结论唯一来源</x:v>
      </x:c>
      <x:c r="D25" s="64" t="str">
        <x:v>把缺失当研究边界，而不是0或负面表现</x:v>
      </x:c>
      <x:c r="E25" s="11"/>
      <x:c r="F25" s="11"/>
      <x:c r="G25" s="11"/>
      <x:c r="H25" s="11"/>
      <x:c r="I25" s="11"/>
    </x:row>
    <x:row r="26">
      <x:c r="A26" s="11"/>
      <x:c r="B26" s="11"/>
      <x:c r="C26" s="11"/>
      <x:c r="D26" s="11"/>
      <x:c r="E26" s="11"/>
      <x:c r="F26" s="11"/>
      <x:c r="G26" s="11"/>
      <x:c r="H26" s="11"/>
      <x:c r="I26" s="11"/>
    </x:row>
    <x:row r="27" ht="24" customHeight="1">
      <x:c r="A27" s="9" t="str">
        <x:v>D. 应用顺序</x:v>
      </x:c>
      <x:c r="B27" s="9"/>
      <x:c r="C27" s="9"/>
      <x:c r="D27" s="9"/>
      <x:c r="E27" s="9"/>
      <x:c r="F27" s="9"/>
      <x:c r="G27" s="9"/>
      <x:c r="H27" s="9"/>
      <x:c r="I27" s="9"/>
    </x:row>
    <x:row r="28" ht="58" customHeight="1">
      <x:c r="A28" s="70" t="n">
        <x:v>1</x:v>
      </x:c>
      <x:c r="B28" s="70" t="str">
        <x:v>闸门</x:v>
      </x:c>
      <x:c r="C28" s="70"/>
      <x:c r="D28" s="70" t="str">
        <x:v>判断候选是否可作为实质案例</x:v>
      </x:c>
      <x:c r="E28" s="70"/>
      <x:c r="F28" s="70"/>
      <x:c r="G28" s="70"/>
      <x:c r="H28" s="70" t="str">
        <x:v>不满足者可转为方法/缺失边界案例</x:v>
      </x:c>
      <x:c r="I28" s="70"/>
    </x:row>
    <x:row r="29" ht="58" customHeight="1">
      <x:c r="A29" s="70" t="n">
        <x:v>2</x:v>
      </x:c>
      <x:c r="B29" s="70" t="str">
        <x:v>轴画像</x:v>
      </x:c>
      <x:c r="C29" s="70"/>
      <x:c r="D29" s="70" t="str">
        <x:v>逐轴记录证据与0—2锚点，不计算总分</x:v>
      </x:c>
      <x:c r="E29" s="70"/>
      <x:c r="F29" s="70"/>
      <x:c r="G29" s="70"/>
      <x:c r="H29" s="70" t="str">
        <x:v>保留null、结构NA和警告</x:v>
      </x:c>
      <x:c r="I29" s="70"/>
    </x:row>
    <x:row r="30" ht="58" customHeight="1">
      <x:c r="A30" s="70" t="n">
        <x:v>3</x:v>
      </x:c>
      <x:c r="B30" s="70" t="str">
        <x:v>互补性</x:v>
      </x:c>
      <x:c r="C30" s="70"/>
      <x:c r="D30" s="70" t="str">
        <x:v>比较候选之间是否形成不同模式</x:v>
      </x:c>
      <x:c r="E30" s="70"/>
      <x:c r="F30" s="70"/>
      <x:c r="G30" s="70"/>
      <x:c r="H30" s="70" t="str">
        <x:v>S6只在组合层判断</x:v>
      </x:c>
      <x:c r="I30" s="70"/>
    </x:row>
    <x:row r="31" ht="58" customHeight="1">
      <x:c r="A31" s="71" t="n">
        <x:v>4</x:v>
      </x:c>
      <x:c r="B31" s="71" t="str">
        <x:v>人工确认</x:v>
      </x:c>
      <x:c r="C31" s="71"/>
      <x:c r="D31" s="71" t="str">
        <x:v>形成候选名单并写出选择理由与排除理由</x:v>
      </x:c>
      <x:c r="E31" s="71"/>
      <x:c r="F31" s="71"/>
      <x:c r="G31" s="71"/>
      <x:c r="H31" s="71" t="str">
        <x:v>下一阶段执行，本阶段不输出名单</x:v>
      </x:c>
      <x:c r="I31" s="71"/>
    </x:row>
  </x:sheetData>
  <x:mergeCells>
    <x:mergeCell ref="A1:I1"/>
    <x:mergeCell ref="A2:I2"/>
    <x:mergeCell ref="A4:I4"/>
    <x:mergeCell ref="A13:I13"/>
    <x:mergeCell ref="A20:I20"/>
    <x:mergeCell ref="A27:I27"/>
    <x:mergeCell ref="B28:C28"/>
    <x:mergeCell ref="D28:G28"/>
    <x:mergeCell ref="H28:I28"/>
    <x:mergeCell ref="B29:C29"/>
    <x:mergeCell ref="D29:G29"/>
    <x:mergeCell ref="H29:I29"/>
    <x:mergeCell ref="B30:C30"/>
    <x:mergeCell ref="D30:G30"/>
    <x:mergeCell ref="H30:I30"/>
    <x:mergeCell ref="B31:C31"/>
    <x:mergeCell ref="D31:G31"/>
    <x:mergeCell ref="H31:I31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30" hidden="0" customWidth="1"/>
    <x:col min="3" max="3" width="16" hidden="0" customWidth="1"/>
    <x:col min="4" max="4" width="82" hidden="0" customWidth="1"/>
    <x:col min="5" max="5" width="70" hidden="0" customWidth="1"/>
  </x:cols>
  <x:sheetData>
    <x:row r="1" ht="32" customHeight="1">
      <x:c r="A1" s="3" t="str">
        <x:v>Stage 5 综合结论</x:v>
      </x:c>
      <x:c r="B1" s="3"/>
      <x:c r="C1" s="3"/>
      <x:c r="D1" s="3"/>
      <x:c r="E1" s="3"/>
    </x:row>
    <x:row r="2" ht="44" customHeight="1">
      <x:c r="A2" s="7" t="str">
        <x:v>整合学术价值、商业价值与可计算性边界，为下一阶段代表性公司选择提供规则输入。</x:v>
      </x:c>
      <x:c r="B2" s="7"/>
      <x:c r="C2" s="7"/>
      <x:c r="D2" s="7"/>
      <x:c r="E2" s="7"/>
    </x:row>
    <x:row r="3">
      <x:c r="A3" s="11"/>
      <x:c r="B3" s="11"/>
      <x:c r="C3" s="11"/>
      <x:c r="D3" s="11"/>
      <x:c r="E3" s="11"/>
    </x:row>
    <x:row r="4" ht="32" customHeight="1">
      <x:c r="A4" s="46" t="str">
        <x:v>结论ID</x:v>
      </x:c>
      <x:c r="B4" s="47" t="str">
        <x:v>结论</x:v>
      </x:c>
      <x:c r="C4" s="47" t="str">
        <x:v>规模</x:v>
      </x:c>
      <x:c r="D4" s="47" t="str">
        <x:v>整合发现</x:v>
      </x:c>
      <x:c r="E4" s="48" t="str">
        <x:v>后续使用</x:v>
      </x:c>
    </x:row>
    <x:row r="5" ht="88" customHeight="1">
      <x:c r="A5" s="59" t="str">
        <x:v>C01</x:v>
      </x:c>
      <x:c r="B5" s="59" t="str">
        <x:v>双核心变量</x:v>
      </x:c>
      <x:c r="C5" s="59" t="str">
        <x:v>7项</x:v>
      </x:c>
      <x:c r="D5" s="59" t="str">
        <x:v>CV002、CV011、CV012、CV013、CV014、CV020、CV024同时具备较高学术与商业价值。</x:v>
      </x:c>
      <x:c r="E5" s="59" t="str">
        <x:v>作为后续评价轴的首要变量，但仍须与质量变量联用。</x:v>
      </x:c>
    </x:row>
    <x:row r="6" ht="88" customHeight="1">
      <x:c r="A6" s="59" t="str">
        <x:v>C02</x:v>
      </x:c>
      <x:c r="B6" s="59" t="str">
        <x:v>研究核心变量</x:v>
      </x:c>
      <x:c r="C6" s="59" t="str">
        <x:v>6项</x:v>
      </x:c>
      <x:c r="D6" s="59" t="str">
        <x:v>CV003、CV005、CV007、CV008、CV021、CV022更适合研究解释，商业端需人工复核或强制边界。</x:v>
      </x:c>
      <x:c r="E6" s="59" t="str">
        <x:v>保留为研究主变量，不因商业分较低而删除。</x:v>
      </x:c>
    </x:row>
    <x:row r="7" ht="88" customHeight="1">
      <x:c r="A7" s="59" t="str">
        <x:v>C03</x:v>
      </x:c>
      <x:c r="B7" s="59" t="str">
        <x:v>商业核心变量</x:v>
      </x:c>
      <x:c r="C7" s="59" t="str">
        <x:v>1项</x:v>
      </x:c>
      <x:c r="D7" s="59" t="str">
        <x:v>CV001适合作为画像入口，但学术信息量有限。</x:v>
      </x:c>
      <x:c r="E7" s="59" t="str">
        <x:v>用于状态分组，不单独承载理论解释。</x:v>
      </x:c>
    </x:row>
    <x:row r="8" ht="88" customHeight="1">
      <x:c r="A8" s="59" t="str">
        <x:v>C04</x:v>
      </x:c>
      <x:c r="B8" s="59" t="str">
        <x:v>双支持变量</x:v>
      </x:c>
      <x:c r="C8" s="59" t="str">
        <x:v>4项</x:v>
      </x:c>
      <x:c r="D8" s="59" t="str">
        <x:v>CV004、CV006、CV018、CV019提供替代尺度、稳健性或路径补充。</x:v>
      </x:c>
      <x:c r="E8" s="59" t="str">
        <x:v>按问题使用，避免与主变量重复堆叠。</x:v>
      </x:c>
    </x:row>
    <x:row r="9" ht="88" customHeight="1">
      <x:c r="A9" s="59" t="str">
        <x:v>C05</x:v>
      </x:c>
      <x:c r="B9" s="59" t="str">
        <x:v>条件变量</x:v>
      </x:c>
      <x:c r="C9" s="59" t="str">
        <x:v>3项</x:v>
      </x:c>
      <x:c r="D9" s="59" t="str">
        <x:v>CV009、CV010、CV025只在适用公司内可比较。</x:v>
      </x:c>
      <x:c r="E9" s="59" t="str">
        <x:v>必须报告适用N，不把结构NA或null补0。</x:v>
      </x:c>
    </x:row>
    <x:row r="10" ht="88" customHeight="1">
      <x:c r="A10" s="59" t="str">
        <x:v>C06</x:v>
      </x:c>
      <x:c r="B10" s="59" t="str">
        <x:v>案例变量</x:v>
      </x:c>
      <x:c r="C10" s="59" t="str">
        <x:v>4项</x:v>
      </x:c>
      <x:c r="D10" s="59" t="str">
        <x:v>CV015、CV016、CV017、CV026具有机制意义，但有效N不足以支撑横向推断。</x:v>
      </x:c>
      <x:c r="E10" s="59" t="str">
        <x:v>仅用于时间线、路径和深度案例。</x:v>
      </x:c>
    </x:row>
    <x:row r="11" ht="88" customHeight="1">
      <x:c r="A11" s="59" t="str">
        <x:v>C07</x:v>
      </x:c>
      <x:c r="B11" s="59" t="str">
        <x:v>质量闸门</x:v>
      </x:c>
      <x:c r="C11" s="59" t="str">
        <x:v>6项</x:v>
      </x:c>
      <x:c r="D11" s="59" t="str">
        <x:v>CV027—CV032决定实体变量能解释到什么程度。</x:v>
      </x:c>
      <x:c r="E11" s="59" t="str">
        <x:v>强制伴随，不合成为公司质量分。</x:v>
      </x:c>
    </x:row>
    <x:row r="12" ht="88" customHeight="1">
      <x:c r="A12" s="59" t="str">
        <x:v>C08</x:v>
      </x:c>
      <x:c r="B12" s="59" t="str">
        <x:v>暂缓变量</x:v>
      </x:c>
      <x:c r="C12" s="59" t="str">
        <x:v>1项</x:v>
      </x:c>
      <x:c r="D12" s="59" t="str">
        <x:v>CV023当前与CV001完全重合。</x:v>
      </x:c>
      <x:c r="E12" s="59" t="str">
        <x:v>保留定义，扩样后再检验增量信息。</x:v>
      </x:c>
    </x:row>
    <x:row r="13" ht="88" customHeight="1">
      <x:c r="A13" s="59" t="str">
        <x:v>C09</x:v>
      </x:c>
      <x:c r="B13" s="59" t="str">
        <x:v>代表性选择原则</x:v>
      </x:c>
      <x:c r="C13" s="59" t="str">
        <x:v>6轴+4闸门</x:v>
      </x:c>
      <x:c r="D13" s="59" t="str">
        <x:v>后续采用多轴、闸门和组合互补性，不使用单一总分。</x:v>
      </x:c>
      <x:c r="E13" s="59" t="str">
        <x:v>Stage5D不产生公司得分、排名或名单。</x:v>
      </x:c>
    </x:row>
    <x:row r="14" ht="88" customHeight="1">
      <x:c r="A14" s="60" t="str">
        <x:v>C10</x:v>
      </x:c>
      <x:c r="B14" s="60" t="str">
        <x:v>小样本边界</x:v>
      </x:c>
      <x:c r="C14" s="60" t="str">
        <x:v>n=8</x:v>
      </x:c>
      <x:c r="D14" s="60" t="str">
        <x:v>整合结果用于描述、变量筛选和案例设计。</x:v>
      </x:c>
      <x:c r="E14" s="60" t="str">
        <x:v>不做因果、显著性、总体代表性或投资价值推断。</x:v>
      </x:c>
    </x:row>
  </x:sheetData>
  <x:mergeCells>
    <x:mergeCell ref="A1:E1"/>
    <x:mergeCell ref="A2:E2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58" hidden="0" customWidth="1"/>
    <x:col min="3" max="3" width="30" hidden="0" customWidth="1"/>
    <x:col min="4" max="4" width="30" hidden="0" customWidth="1"/>
    <x:col min="5" max="5" width="14" hidden="0" customWidth="1"/>
    <x:col min="6" max="6" width="14" hidden="0" customWidth="1"/>
    <x:col min="7" max="7" width="16" hidden="0" customWidth="1"/>
    <x:col min="8" max="8" width="66" hidden="0" customWidth="1"/>
  </x:cols>
  <x:sheetData>
    <x:row r="1" ht="32" customHeight="1">
      <x:c r="A1" s="3" t="str">
        <x:v>Stage 5D 验收检查</x:v>
      </x:c>
      <x:c r="B1" s="3"/>
      <x:c r="C1" s="3"/>
      <x:c r="D1" s="3"/>
      <x:c r="E1" s="3"/>
      <x:c r="F1" s="3"/>
      <x:c r="G1" s="3"/>
      <x:c r="H1" s="3"/>
    </x:row>
    <x:row r="2" ht="44" customHeight="1">
      <x:c r="A2" s="7" t="str">
        <x:v>每行只验证一个断言；全部PASS后冻结整合框架。</x:v>
      </x:c>
      <x:c r="B2" s="7"/>
      <x:c r="C2" s="7"/>
      <x:c r="D2" s="7"/>
      <x:c r="E2" s="7"/>
      <x:c r="F2" s="7"/>
      <x:c r="G2" s="7"/>
      <x:c r="H2" s="7"/>
    </x:row>
    <x:row r="3">
      <x:c r="A3" s="11"/>
      <x:c r="B3" s="11"/>
      <x:c r="C3" s="11"/>
      <x:c r="D3" s="11"/>
      <x:c r="E3" s="11"/>
      <x:c r="F3" s="11"/>
      <x:c r="G3" s="11"/>
      <x:c r="H3" s="11"/>
    </x:row>
    <x:row r="4" ht="32" customHeight="1">
      <x:c r="A4" s="46" t="str">
        <x:v>检查ID</x:v>
      </x:c>
      <x:c r="B4" s="47" t="str">
        <x:v>检查项</x:v>
      </x:c>
      <x:c r="C4" s="47" t="str">
        <x:v>期望</x:v>
      </x:c>
      <x:c r="D4" s="47" t="str">
        <x:v>实际</x:v>
      </x:c>
      <x:c r="E4" s="47" t="str">
        <x:v>类型</x:v>
      </x:c>
      <x:c r="F4" s="47" t="str">
        <x:v>容差</x:v>
      </x:c>
      <x:c r="G4" s="47" t="str">
        <x:v>状态</x:v>
      </x:c>
      <x:c r="H4" s="48" t="str">
        <x:v>说明</x:v>
      </x:c>
    </x:row>
    <x:row r="5" ht="42" customHeight="1">
      <x:c r="A5" s="53" t="str">
        <x:v>S5D-001</x:v>
      </x:c>
      <x:c r="B5" s="53" t="str">
        <x:v>Stage4C JSON SHA-256</x:v>
      </x:c>
      <x:c r="C5" s="53" t="str">
        <x:v>e9e389fd37f2dc0959428359849163c87176c86cce58b067d6a83336e087dbaa</x:v>
      </x:c>
      <x:c r="D5" s="53" t="str">
        <x:v>e9e389fd37f2dc0959428359849163c87176c86cce58b067d6a83336e087dbaa</x:v>
      </x:c>
      <x:c r="E5" s="53" t="str">
        <x:v>文本</x:v>
      </x:c>
      <x:c r="F5" s="53" t="n">
        <x:v>0</x:v>
      </x:c>
      <x:c r="G5" s="53" t="str">
        <x:f>IF(C5=D5,"PASS","FAIL")</x:f>
        <x:v>PASS</x:v>
      </x:c>
      <x:c r="H5" s="53" t="str">
        <x:v>冻结变量身份</x:v>
      </x:c>
    </x:row>
    <x:row r="6" ht="42" customHeight="1">
      <x:c r="A6" s="53" t="str">
        <x:v>S5D-002</x:v>
      </x:c>
      <x:c r="B6" s="53" t="str">
        <x:v>Stage5A工作簿SHA-256</x:v>
      </x:c>
      <x:c r="C6" s="53" t="str">
        <x:v>8a56f7dc003fe83762be14de31a5af4095059c75a4aceb444b6c7b6a1faf86b4</x:v>
      </x:c>
      <x:c r="D6" s="53" t="str">
        <x:v>8a56f7dc003fe83762be14de31a5af4095059c75a4aceb444b6c7b6a1faf86b4</x:v>
      </x:c>
      <x:c r="E6" s="53" t="str">
        <x:v>文本</x:v>
      </x:c>
      <x:c r="F6" s="53" t="n">
        <x:v>0</x:v>
      </x:c>
      <x:c r="G6" s="53" t="str">
        <x:f>IF(C6=D6,"PASS","FAIL")</x:f>
        <x:v>PASS</x:v>
      </x:c>
      <x:c r="H6" s="53" t="str">
        <x:v>框架身份</x:v>
      </x:c>
    </x:row>
    <x:row r="7" ht="42" customHeight="1">
      <x:c r="A7" s="53" t="str">
        <x:v>S5D-003</x:v>
      </x:c>
      <x:c r="B7" s="53" t="str">
        <x:v>Stage5B工作簿SHA-256</x:v>
      </x:c>
      <x:c r="C7" s="53" t="str">
        <x:v>8049fcbc87bafa72a63a905a49e5935369bde706864e22172a166ba0389491f6</x:v>
      </x:c>
      <x:c r="D7" s="53" t="str">
        <x:v>8049fcbc87bafa72a63a905a49e5935369bde706864e22172a166ba0389491f6</x:v>
      </x:c>
      <x:c r="E7" s="53" t="str">
        <x:v>文本</x:v>
      </x:c>
      <x:c r="F7" s="53" t="n">
        <x:v>0</x:v>
      </x:c>
      <x:c r="G7" s="53" t="str">
        <x:f>IF(C7=D7,"PASS","FAIL")</x:f>
        <x:v>PASS</x:v>
      </x:c>
      <x:c r="H7" s="53" t="str">
        <x:v>学术输入身份</x:v>
      </x:c>
    </x:row>
    <x:row r="8" ht="42" customHeight="1">
      <x:c r="A8" s="53" t="str">
        <x:v>S5D-004</x:v>
      </x:c>
      <x:c r="B8" s="53" t="str">
        <x:v>Stage5C工作簿SHA-256</x:v>
      </x:c>
      <x:c r="C8" s="53" t="str">
        <x:v>0ab22a82f24d924ec440201c458585dc12d11242718ebd47ef2fe10777be4a01</x:v>
      </x:c>
      <x:c r="D8" s="53" t="str">
        <x:v>0ab22a82f24d924ec440201c458585dc12d11242718ebd47ef2fe10777be4a01</x:v>
      </x:c>
      <x:c r="E8" s="53" t="str">
        <x:v>文本</x:v>
      </x:c>
      <x:c r="F8" s="53" t="n">
        <x:v>0</x:v>
      </x:c>
      <x:c r="G8" s="53" t="str">
        <x:f>IF(C8=D8,"PASS","FAIL")</x:f>
        <x:v>PASS</x:v>
      </x:c>
      <x:c r="H8" s="53" t="str">
        <x:v>商业输入身份</x:v>
      </x:c>
    </x:row>
    <x:row r="9" ht="42" customHeight="1">
      <x:c r="A9" s="53" t="str">
        <x:v>S5D-005</x:v>
      </x:c>
      <x:c r="B9" s="53" t="str">
        <x:v>整合变量数</x:v>
      </x:c>
      <x:c r="C9" s="53" t="n">
        <x:v>32</x:v>
      </x:c>
      <x:c r="D9" s="53" t="n">
        <x:f>COUNTA('整合变量地图'!$A$5:$A$36)</x:f>
        <x:v>32</x:v>
      </x:c>
      <x:c r="E9" s="53" t="str">
        <x:v>数值</x:v>
      </x:c>
      <x:c r="F9" s="53" t="n">
        <x:v>0</x:v>
      </x:c>
      <x:c r="G9" s="53" t="str">
        <x:f>IF(ABS(C9-D9)&lt;=F9,"PASS","FAIL")</x:f>
        <x:v>PASS</x:v>
      </x:c>
      <x:c r="H9" s="53" t="str">
        <x:v>全覆盖</x:v>
      </x:c>
    </x:row>
    <x:row r="10" ht="42" customHeight="1">
      <x:c r="A10" s="53" t="str">
        <x:v>S5D-006</x:v>
      </x:c>
      <x:c r="B10" s="53" t="str">
        <x:v>双核心变量数</x:v>
      </x:c>
      <x:c r="C10" s="53" t="n">
        <x:v>7</x:v>
      </x:c>
      <x:c r="D10" s="53" t="n">
        <x:f>COUNTIF('整合变量地图'!$I$5:$I$36,"DUAL_CORE")</x:f>
        <x:v>7</x:v>
      </x:c>
      <x:c r="E10" s="53" t="str">
        <x:v>数值</x:v>
      </x:c>
      <x:c r="F10" s="53" t="n">
        <x:v>0</x:v>
      </x:c>
      <x:c r="G10" s="53" t="str">
        <x:f>IF(ABS(C10-D10)&lt;=F10,"PASS","FAIL")</x:f>
        <x:v>PASS</x:v>
      </x:c>
      <x:c r="H10" s="53" t="str">
        <x:v>学术优先+商业核心</x:v>
      </x:c>
    </x:row>
    <x:row r="11" ht="42" customHeight="1">
      <x:c r="A11" s="53" t="str">
        <x:v>S5D-007</x:v>
      </x:c>
      <x:c r="B11" s="53" t="str">
        <x:v>研究核心变量数</x:v>
      </x:c>
      <x:c r="C11" s="53" t="n">
        <x:v>6</x:v>
      </x:c>
      <x:c r="D11" s="53" t="n">
        <x:f>COUNTIF('整合变量地图'!$I$5:$I$36,"RESEARCH_CORE")</x:f>
        <x:v>6</x:v>
      </x:c>
      <x:c r="E11" s="53" t="str">
        <x:v>数值</x:v>
      </x:c>
      <x:c r="F11" s="53" t="n">
        <x:v>0</x:v>
      </x:c>
      <x:c r="G11" s="53" t="str">
        <x:f>IF(ABS(C11-D11)&lt;=F11,"PASS","FAIL")</x:f>
        <x:v>PASS</x:v>
      </x:c>
      <x:c r="H11" s="53" t="str">
        <x:v>学术优先+商业辅助</x:v>
      </x:c>
    </x:row>
    <x:row r="12" ht="42" customHeight="1">
      <x:c r="A12" s="53" t="str">
        <x:v>S5D-008</x:v>
      </x:c>
      <x:c r="B12" s="53" t="str">
        <x:v>商业核心变量数</x:v>
      </x:c>
      <x:c r="C12" s="53" t="n">
        <x:v>1</x:v>
      </x:c>
      <x:c r="D12" s="53" t="n">
        <x:f>COUNTIF('整合变量地图'!$I$5:$I$36,"COMMERCIAL_CORE")</x:f>
        <x:v>1</x:v>
      </x:c>
      <x:c r="E12" s="53" t="str">
        <x:v>数值</x:v>
      </x:c>
      <x:c r="F12" s="53" t="n">
        <x:v>0</x:v>
      </x:c>
      <x:c r="G12" s="53" t="str">
        <x:f>IF(ABS(C12-D12)&lt;=F12,"PASS","FAIL")</x:f>
        <x:v>PASS</x:v>
      </x:c>
      <x:c r="H12" s="53" t="str">
        <x:v>学术探索+商业核心</x:v>
      </x:c>
    </x:row>
    <x:row r="13" ht="42" customHeight="1">
      <x:c r="A13" s="53" t="str">
        <x:v>S5D-009</x:v>
      </x:c>
      <x:c r="B13" s="53" t="str">
        <x:v>双支持变量数</x:v>
      </x:c>
      <x:c r="C13" s="53" t="n">
        <x:v>4</x:v>
      </x:c>
      <x:c r="D13" s="53" t="n">
        <x:f>COUNTIF('整合变量地图'!$I$5:$I$36,"DUAL_SUPPORT")</x:f>
        <x:v>4</x:v>
      </x:c>
      <x:c r="E13" s="53" t="str">
        <x:v>数值</x:v>
      </x:c>
      <x:c r="F13" s="53" t="n">
        <x:v>0</x:v>
      </x:c>
      <x:c r="G13" s="53" t="str">
        <x:f>IF(ABS(C13-D13)&lt;=F13,"PASS","FAIL")</x:f>
        <x:v>PASS</x:v>
      </x:c>
      <x:c r="H13" s="53" t="str">
        <x:v>学术探索+商业辅助</x:v>
      </x:c>
    </x:row>
    <x:row r="14" ht="42" customHeight="1">
      <x:c r="A14" s="53" t="str">
        <x:v>S5D-010</x:v>
      </x:c>
      <x:c r="B14" s="53" t="str">
        <x:v>条件变量数</x:v>
      </x:c>
      <x:c r="C14" s="53" t="n">
        <x:v>3</x:v>
      </x:c>
      <x:c r="D14" s="53" t="n">
        <x:f>COUNTIF('整合变量地图'!$I$5:$I$36,"CONDITIONAL")</x:f>
        <x:v>3</x:v>
      </x:c>
      <x:c r="E14" s="53" t="str">
        <x:v>数值</x:v>
      </x:c>
      <x:c r="F14" s="53" t="n">
        <x:v>0</x:v>
      </x:c>
      <x:c r="G14" s="53" t="str">
        <x:f>IF(ABS(C14-D14)&lt;=F14,"PASS","FAIL")</x:f>
        <x:v>PASS</x:v>
      </x:c>
      <x:c r="H14" s="53" t="str">
        <x:v>条件描述</x:v>
      </x:c>
    </x:row>
    <x:row r="15" ht="42" customHeight="1">
      <x:c r="A15" s="53" t="str">
        <x:v>S5D-011</x:v>
      </x:c>
      <x:c r="B15" s="53" t="str">
        <x:v>案例变量数</x:v>
      </x:c>
      <x:c r="C15" s="53" t="n">
        <x:v>4</x:v>
      </x:c>
      <x:c r="D15" s="53" t="n">
        <x:f>COUNTIF('整合变量地图'!$I$5:$I$36,"CASE")</x:f>
        <x:v>4</x:v>
      </x:c>
      <x:c r="E15" s="53" t="str">
        <x:v>数值</x:v>
      </x:c>
      <x:c r="F15" s="53" t="n">
        <x:v>0</x:v>
      </x:c>
      <x:c r="G15" s="53" t="str">
        <x:f>IF(ABS(C15-D15)&lt;=F15,"PASS","FAIL")</x:f>
        <x:v>PASS</x:v>
      </x:c>
      <x:c r="H15" s="53" t="str">
        <x:v>案例/路径</x:v>
      </x:c>
    </x:row>
    <x:row r="16" ht="42" customHeight="1">
      <x:c r="A16" s="53" t="str">
        <x:v>S5D-012</x:v>
      </x:c>
      <x:c r="B16" s="53" t="str">
        <x:v>质量闸门变量数</x:v>
      </x:c>
      <x:c r="C16" s="53" t="n">
        <x:v>6</x:v>
      </x:c>
      <x:c r="D16" s="53" t="n">
        <x:f>COUNTIF('整合变量地图'!$I$5:$I$36,"QUALITY_GATE")</x:f>
        <x:v>6</x:v>
      </x:c>
      <x:c r="E16" s="53" t="str">
        <x:v>数值</x:v>
      </x:c>
      <x:c r="F16" s="53" t="n">
        <x:v>0</x:v>
      </x:c>
      <x:c r="G16" s="53" t="str">
        <x:f>IF(ABS(C16-D16)&lt;=F16,"PASS","FAIL")</x:f>
        <x:v>PASS</x:v>
      </x:c>
      <x:c r="H16" s="53" t="str">
        <x:v>质量伴随</x:v>
      </x:c>
    </x:row>
    <x:row r="17" ht="42" customHeight="1">
      <x:c r="A17" s="53" t="str">
        <x:v>S5D-013</x:v>
      </x:c>
      <x:c r="B17" s="53" t="str">
        <x:v>暂缓变量数</x:v>
      </x:c>
      <x:c r="C17" s="53" t="n">
        <x:v>1</x:v>
      </x:c>
      <x:c r="D17" s="53" t="n">
        <x:f>COUNTIF('整合变量地图'!$I$5:$I$36,"DEFER")</x:f>
        <x:v>1</x:v>
      </x:c>
      <x:c r="E17" s="53" t="str">
        <x:v>数值</x:v>
      </x:c>
      <x:c r="F17" s="53" t="n">
        <x:v>0</x:v>
      </x:c>
      <x:c r="G17" s="53" t="str">
        <x:f>IF(ABS(C17-D17)&lt;=F17,"PASS","FAIL")</x:f>
        <x:v>PASS</x:v>
      </x:c>
      <x:c r="H17" s="53" t="str">
        <x:v>CV023</x:v>
      </x:c>
    </x:row>
    <x:row r="18" ht="42" customHeight="1">
      <x:c r="A18" s="53" t="str">
        <x:v>S5D-014</x:v>
      </x:c>
      <x:c r="B18" s="53" t="str">
        <x:v>整合层级闭合</x:v>
      </x:c>
      <x:c r="C18" s="53" t="n">
        <x:v>32</x:v>
      </x:c>
      <x:c r="D18" s="53" t="n">
        <x:f>COUNTA('整合变量地图'!$I$5:$I$36)</x:f>
        <x:v>32</x:v>
      </x:c>
      <x:c r="E18" s="53" t="str">
        <x:v>数值</x:v>
      </x:c>
      <x:c r="F18" s="53" t="n">
        <x:v>0</x:v>
      </x:c>
      <x:c r="G18" s="53" t="str">
        <x:f>IF(ABS(C18-D18)&lt;=F18,"PASS","FAIL")</x:f>
        <x:v>PASS</x:v>
      </x:c>
      <x:c r="H18" s="53" t="str">
        <x:v>八类合计</x:v>
      </x:c>
    </x:row>
    <x:row r="19" ht="42" customHeight="1">
      <x:c r="A19" s="53" t="str">
        <x:v>S5D-015</x:v>
      </x:c>
      <x:c r="B19" s="53" t="str">
        <x:v>学术优先候选数</x:v>
      </x:c>
      <x:c r="C19" s="53" t="n">
        <x:v>13</x:v>
      </x:c>
      <x:c r="D19" s="53" t="n">
        <x:f>COUNTIF('整合变量地图'!$F$5:$F$36,"优先候选")</x:f>
        <x:v>13</x:v>
      </x:c>
      <x:c r="E19" s="53" t="str">
        <x:v>数值</x:v>
      </x:c>
      <x:c r="F19" s="53" t="n">
        <x:v>0</x:v>
      </x:c>
      <x:c r="G19" s="53" t="str">
        <x:f>IF(ABS(C19-D19)&lt;=F19,"PASS","FAIL")</x:f>
        <x:v>PASS</x:v>
      </x:c>
      <x:c r="H19" s="53" t="str">
        <x:v>与Stage5B一致</x:v>
      </x:c>
    </x:row>
    <x:row r="20" ht="42" customHeight="1">
      <x:c r="A20" s="53" t="str">
        <x:v>S5D-016</x:v>
      </x:c>
      <x:c r="B20" s="53" t="str">
        <x:v>学术探索候选数</x:v>
      </x:c>
      <x:c r="C20" s="53" t="n">
        <x:v>5</x:v>
      </x:c>
      <x:c r="D20" s="53" t="n">
        <x:f>COUNTIF('整合变量地图'!$F$5:$F$36,"探索候选")</x:f>
        <x:v>5</x:v>
      </x:c>
      <x:c r="E20" s="53" t="str">
        <x:v>数值</x:v>
      </x:c>
      <x:c r="F20" s="53" t="n">
        <x:v>0</x:v>
      </x:c>
      <x:c r="G20" s="53" t="str">
        <x:f>IF(ABS(C20-D20)&lt;=F20,"PASS","FAIL")</x:f>
        <x:v>PASS</x:v>
      </x:c>
      <x:c r="H20" s="53" t="str">
        <x:v>与Stage5B一致</x:v>
      </x:c>
    </x:row>
    <x:row r="21" ht="42" customHeight="1">
      <x:c r="A21" s="53" t="str">
        <x:v>S5D-017</x:v>
      </x:c>
      <x:c r="B21" s="53" t="str">
        <x:v>商业核心应用数</x:v>
      </x:c>
      <x:c r="C21" s="53" t="n">
        <x:v>8</x:v>
      </x:c>
      <x:c r="D21" s="53" t="n">
        <x:f>COUNTIF('整合变量地图'!$H$5:$H$36,"核心应用")</x:f>
        <x:v>8</x:v>
      </x:c>
      <x:c r="E21" s="53" t="str">
        <x:v>数值</x:v>
      </x:c>
      <x:c r="F21" s="53" t="n">
        <x:v>0</x:v>
      </x:c>
      <x:c r="G21" s="53" t="str">
        <x:f>IF(ABS(C21-D21)&lt;=F21,"PASS","FAIL")</x:f>
        <x:v>PASS</x:v>
      </x:c>
      <x:c r="H21" s="53" t="str">
        <x:v>与Stage5C一致</x:v>
      </x:c>
    </x:row>
    <x:row r="22" ht="42" customHeight="1">
      <x:c r="A22" s="53" t="str">
        <x:v>S5D-018</x:v>
      </x:c>
      <x:c r="B22" s="53" t="str">
        <x:v>商业辅助应用数</x:v>
      </x:c>
      <x:c r="C22" s="53" t="n">
        <x:v>10</x:v>
      </x:c>
      <x:c r="D22" s="53" t="n">
        <x:f>COUNTIF('整合变量地图'!$H$5:$H$36,"辅助应用")</x:f>
        <x:v>10</x:v>
      </x:c>
      <x:c r="E22" s="53" t="str">
        <x:v>数值</x:v>
      </x:c>
      <x:c r="F22" s="53" t="n">
        <x:v>0</x:v>
      </x:c>
      <x:c r="G22" s="53" t="str">
        <x:f>IF(ABS(C22-D22)&lt;=F22,"PASS","FAIL")</x:f>
        <x:v>PASS</x:v>
      </x:c>
      <x:c r="H22" s="53" t="str">
        <x:v>与Stage5C一致</x:v>
      </x:c>
    </x:row>
    <x:row r="23" ht="42" customHeight="1">
      <x:c r="A23" s="53" t="str">
        <x:v>S5D-019</x:v>
      </x:c>
      <x:c r="B23" s="53" t="str">
        <x:v>变量组合包数</x:v>
      </x:c>
      <x:c r="C23" s="53" t="n">
        <x:v>7</x:v>
      </x:c>
      <x:c r="D23" s="53" t="n">
        <x:f>COUNTA('变量组合包'!$A$5:$A$11)</x:f>
        <x:v>7</x:v>
      </x:c>
      <x:c r="E23" s="53" t="str">
        <x:v>数值</x:v>
      </x:c>
      <x:c r="F23" s="53" t="n">
        <x:v>0</x:v>
      </x:c>
      <x:c r="G23" s="53" t="str">
        <x:f>IF(ABS(C23-D23)&lt;=F23,"PASS","FAIL")</x:f>
        <x:v>PASS</x:v>
      </x:c>
      <x:c r="H23" s="53" t="str">
        <x:v>B01—B07</x:v>
      </x:c>
    </x:row>
    <x:row r="24" ht="42" customHeight="1">
      <x:c r="A24" s="53" t="str">
        <x:v>S5D-020</x:v>
      </x:c>
      <x:c r="B24" s="53" t="str">
        <x:v>冗余/替代规则数</x:v>
      </x:c>
      <x:c r="C24" s="53" t="n">
        <x:v>8</x:v>
      </x:c>
      <x:c r="D24" s="53" t="n">
        <x:f>COUNTA('冗余与替代决策'!$A$5:$A$12)</x:f>
        <x:v>8</x:v>
      </x:c>
      <x:c r="E24" s="53" t="str">
        <x:v>数值</x:v>
      </x:c>
      <x:c r="F24" s="53" t="n">
        <x:v>0</x:v>
      </x:c>
      <x:c r="G24" s="53" t="str">
        <x:f>IF(ABS(C24-D24)&lt;=F24,"PASS","FAIL")</x:f>
        <x:v>PASS</x:v>
      </x:c>
      <x:c r="H24" s="53" t="str">
        <x:v>R01—R08</x:v>
      </x:c>
    </x:row>
    <x:row r="25" ht="42" customHeight="1">
      <x:c r="A25" s="53" t="str">
        <x:v>S5D-021</x:v>
      </x:c>
      <x:c r="B25" s="53" t="str">
        <x:v>核心变量集合数</x:v>
      </x:c>
      <x:c r="C25" s="53" t="n">
        <x:v>9</x:v>
      </x:c>
      <x:c r="D25" s="53" t="n">
        <x:f>COUNTA('核心变量集'!$A$5:$A$13)</x:f>
        <x:v>9</x:v>
      </x:c>
      <x:c r="E25" s="53" t="str">
        <x:v>数值</x:v>
      </x:c>
      <x:c r="F25" s="53" t="n">
        <x:v>0</x:v>
      </x:c>
      <x:c r="G25" s="53" t="str">
        <x:f>IF(ABS(C25-D25)&lt;=F25,"PASS","FAIL")</x:f>
        <x:v>PASS</x:v>
      </x:c>
      <x:c r="H25" s="53" t="str">
        <x:v>SET01—SET09</x:v>
      </x:c>
    </x:row>
    <x:row r="26" ht="42" customHeight="1">
      <x:c r="A26" s="53" t="str">
        <x:v>S5D-022</x:v>
      </x:c>
      <x:c r="B26" s="53" t="str">
        <x:v>公司选择轴数</x:v>
      </x:c>
      <x:c r="C26" s="53" t="n">
        <x:v>6</x:v>
      </x:c>
      <x:c r="D26" s="53" t="n">
        <x:f>COUNTA('公司选择框架'!$A$6:$A$11)</x:f>
        <x:v>6</x:v>
      </x:c>
      <x:c r="E26" s="53" t="str">
        <x:v>数值</x:v>
      </x:c>
      <x:c r="F26" s="53" t="n">
        <x:v>0</x:v>
      </x:c>
      <x:c r="G26" s="53" t="str">
        <x:f>IF(ABS(C26-D26)&lt;=F26,"PASS","FAIL")</x:f>
        <x:v>PASS</x:v>
      </x:c>
      <x:c r="H26" s="53" t="str">
        <x:v>S1—S6</x:v>
      </x:c>
    </x:row>
    <x:row r="27" ht="42" customHeight="1">
      <x:c r="A27" s="53" t="str">
        <x:v>S5D-023</x:v>
      </x:c>
      <x:c r="B27" s="53" t="str">
        <x:v>进入闸门数</x:v>
      </x:c>
      <x:c r="C27" s="53" t="n">
        <x:v>4</x:v>
      </x:c>
      <x:c r="D27" s="53" t="n">
        <x:f>COUNTA('公司选择框架'!$A$15:$A$18)</x:f>
        <x:v>4</x:v>
      </x:c>
      <x:c r="E27" s="53" t="str">
        <x:v>数值</x:v>
      </x:c>
      <x:c r="F27" s="53" t="n">
        <x:v>0</x:v>
      </x:c>
      <x:c r="G27" s="53" t="str">
        <x:f>IF(ABS(C27-D27)&lt;=F27,"PASS","FAIL")</x:f>
        <x:v>PASS</x:v>
      </x:c>
      <x:c r="H27" s="53" t="str">
        <x:v>G0—G3</x:v>
      </x:c>
    </x:row>
    <x:row r="28" ht="42" customHeight="1">
      <x:c r="A28" s="53" t="str">
        <x:v>S5D-024</x:v>
      </x:c>
      <x:c r="B28" s="53" t="str">
        <x:v>组合约束数</x:v>
      </x:c>
      <x:c r="C28" s="53" t="n">
        <x:v>4</x:v>
      </x:c>
      <x:c r="D28" s="53" t="n">
        <x:f>COUNTA('公司选择框架'!$A$22:$A$25)</x:f>
        <x:v>4</x:v>
      </x:c>
      <x:c r="E28" s="53" t="str">
        <x:v>数值</x:v>
      </x:c>
      <x:c r="F28" s="53" t="n">
        <x:v>0</x:v>
      </x:c>
      <x:c r="G28" s="53" t="str">
        <x:f>IF(ABS(C28-D28)&lt;=F28,"PASS","FAIL")</x:f>
        <x:v>PASS</x:v>
      </x:c>
      <x:c r="H28" s="53" t="str">
        <x:v>P1—P4</x:v>
      </x:c>
    </x:row>
    <x:row r="29" ht="42" customHeight="1">
      <x:c r="A29" s="53" t="str">
        <x:v>S5D-025</x:v>
      </x:c>
      <x:c r="B29" s="53" t="str">
        <x:v>公司评分记录数</x:v>
      </x:c>
      <x:c r="C29" s="53" t="n">
        <x:v>0</x:v>
      </x:c>
      <x:c r="D29" s="53" t="n">
        <x:v>0</x:v>
      </x:c>
      <x:c r="E29" s="53" t="str">
        <x:v>数值</x:v>
      </x:c>
      <x:c r="F29" s="53" t="n">
        <x:v>0</x:v>
      </x:c>
      <x:c r="G29" s="53" t="str">
        <x:f>IF(ABS(C29-D29)&lt;=F29,"PASS","FAIL")</x:f>
        <x:v>PASS</x:v>
      </x:c>
      <x:c r="H29" s="53" t="str">
        <x:v>本阶段禁止应用框架</x:v>
      </x:c>
    </x:row>
    <x:row r="30" ht="42" customHeight="1">
      <x:c r="A30" s="53" t="str">
        <x:v>S5D-026</x:v>
      </x:c>
      <x:c r="B30" s="53" t="str">
        <x:v>公司排名记录数</x:v>
      </x:c>
      <x:c r="C30" s="53" t="n">
        <x:v>0</x:v>
      </x:c>
      <x:c r="D30" s="53" t="n">
        <x:v>0</x:v>
      </x:c>
      <x:c r="E30" s="53" t="str">
        <x:v>数值</x:v>
      </x:c>
      <x:c r="F30" s="53" t="n">
        <x:v>0</x:v>
      </x:c>
      <x:c r="G30" s="53" t="str">
        <x:f>IF(ABS(C30-D30)&lt;=F30,"PASS","FAIL")</x:f>
        <x:v>PASS</x:v>
      </x:c>
      <x:c r="H30" s="53" t="str">
        <x:v>本阶段禁止排名</x:v>
      </x:c>
    </x:row>
    <x:row r="31" ht="42" customHeight="1">
      <x:c r="A31" s="53" t="str">
        <x:v>S5D-027</x:v>
      </x:c>
      <x:c r="B31" s="53" t="str">
        <x:v>单一学术商业合成分</x:v>
      </x:c>
      <x:c r="C31" s="76" t="b">
        <x:v>0</x:v>
      </x:c>
      <x:c r="D31" s="76" t="b">
        <x:v>0</x:v>
      </x:c>
      <x:c r="E31" s="53" t="str">
        <x:v>布尔</x:v>
      </x:c>
      <x:c r="F31" s="53" t="n">
        <x:v>0</x:v>
      </x:c>
      <x:c r="G31" s="53" t="str">
        <x:f>IF(C31=D31,"PASS","FAIL")</x:f>
        <x:v>PASS</x:v>
      </x:c>
      <x:c r="H31" s="53" t="str">
        <x:v>两套评分并列保留</x:v>
      </x:c>
    </x:row>
    <x:row r="32" ht="42" customHeight="1">
      <x:c r="A32" s="53" t="str">
        <x:v>S5D-028</x:v>
      </x:c>
      <x:c r="B32" s="53" t="str">
        <x:v>事实层修改</x:v>
      </x:c>
      <x:c r="C32" s="76" t="b">
        <x:v>0</x:v>
      </x:c>
      <x:c r="D32" s="76" t="b">
        <x:v>0</x:v>
      </x:c>
      <x:c r="E32" s="53" t="str">
        <x:v>布尔</x:v>
      </x:c>
      <x:c r="F32" s="53" t="n">
        <x:v>0</x:v>
      </x:c>
      <x:c r="G32" s="53" t="str">
        <x:f>IF(C32=D32,"PASS","FAIL")</x:f>
        <x:v>PASS</x:v>
      </x:c>
      <x:c r="H32" s="53" t="str">
        <x:v>必须为FALSE</x:v>
      </x:c>
    </x:row>
    <x:row r="33" ht="42" customHeight="1">
      <x:c r="A33" s="53" t="str">
        <x:v>S5D-029</x:v>
      </x:c>
      <x:c r="B33" s="53" t="str">
        <x:v>标准化层修改</x:v>
      </x:c>
      <x:c r="C33" s="76" t="b">
        <x:v>0</x:v>
      </x:c>
      <x:c r="D33" s="76" t="b">
        <x:v>0</x:v>
      </x:c>
      <x:c r="E33" s="53" t="str">
        <x:v>布尔</x:v>
      </x:c>
      <x:c r="F33" s="53" t="n">
        <x:v>0</x:v>
      </x:c>
      <x:c r="G33" s="53" t="str">
        <x:f>IF(C33=D33,"PASS","FAIL")</x:f>
        <x:v>PASS</x:v>
      </x:c>
      <x:c r="H33" s="53" t="str">
        <x:v>必须为FALSE</x:v>
      </x:c>
    </x:row>
    <x:row r="34" ht="42" customHeight="1">
      <x:c r="A34" s="54" t="str">
        <x:v>S5D-030</x:v>
      </x:c>
      <x:c r="B34" s="54" t="str">
        <x:v>null替换为0</x:v>
      </x:c>
      <x:c r="C34" s="77" t="b">
        <x:v>0</x:v>
      </x:c>
      <x:c r="D34" s="77" t="b">
        <x:v>0</x:v>
      </x:c>
      <x:c r="E34" s="54" t="str">
        <x:v>布尔</x:v>
      </x:c>
      <x:c r="F34" s="54" t="n">
        <x:v>0</x:v>
      </x:c>
      <x:c r="G34" s="54" t="str">
        <x:f>IF(C34=D34,"PASS","FAIL")</x:f>
        <x:v>PASS</x:v>
      </x:c>
      <x:c r="H34" s="54" t="str">
        <x:v>必须为FALSE</x:v>
      </x:c>
    </x:row>
    <x:row r="35">
      <x:c r="A35" s="11"/>
      <x:c r="B35" s="11"/>
      <x:c r="C35" s="11"/>
      <x:c r="D35" s="11"/>
      <x:c r="E35" s="11"/>
      <x:c r="F35" s="11"/>
      <x:c r="G35" s="11"/>
      <x:c r="H35" s="11"/>
    </x:row>
    <x:row r="36" ht="24" customHeight="1">
      <x:c r="A36" s="9" t="str">
        <x:v>阶段总状态</x:v>
      </x:c>
      <x:c r="B36" s="9"/>
      <x:c r="C36" s="9"/>
      <x:c r="D36" s="9"/>
      <x:c r="E36" s="9"/>
      <x:c r="F36" s="9"/>
      <x:c r="G36" s="9"/>
      <x:c r="H36" s="9"/>
    </x:row>
    <x:row r="37" ht="38" customHeight="1">
      <x:c r="A37" s="11" t="str">
        <x:v>总状态</x:v>
      </x:c>
      <x:c r="B37" s="81" t="str">
        <x:f>IF(COUNTIF($G$5:$G$34,"FAIL")=0,"PASS","FAIL")</x:f>
        <x:v>PASS</x:v>
      </x:c>
      <x:c r="C37" s="81"/>
      <x:c r="D37" s="81"/>
      <x:c r="E37" s="81"/>
      <x:c r="F37" s="81"/>
      <x:c r="G37" s="81"/>
      <x:c r="H37" s="11" t="str">
        <x:v>PASS后冻结为FROZEN_STAGE5D</x:v>
      </x:c>
    </x:row>
  </x:sheetData>
  <x:mergeCells>
    <x:mergeCell ref="A1:H1"/>
    <x:mergeCell ref="A2:H2"/>
    <x:mergeCell ref="A36:H36"/>
    <x:mergeCell ref="B37:G37"/>
  </x:mergeCells>
  <x:conditionalFormatting sqref="G5:G34">
    <x:cfRule type="containsText" dxfId="3" priority="1" operator="containsText" text="PASS"/>
    <x:cfRule type="containsText" dxfId="4" priority="2" operator="containsText" text="FAIL"/>
  </x:conditionalFormatting>
  <x:pageMargins left="0.7" right="0.7" top="0.75" bottom="0.75" header="0.3" footer="0.3"/>
</x:worksheet>
</file>