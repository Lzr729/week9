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7ef9b6b6654b97" /></Relationships>
</file>

<file path=xl/workbook.xml><?xml version="1.0" encoding="utf-8"?>
<x:workbook xmlns:x="http://schemas.openxmlformats.org/spreadsheetml/2006/main">
  <x:sheets>
    <x:sheet xmlns:r="http://schemas.openxmlformats.org/officeDocument/2006/relationships" name="阶段说明" sheetId="1" r:id="Rf45b8f8fec3c4e37"/>
    <x:sheet xmlns:r="http://schemas.openxmlformats.org/officeDocument/2006/relationships" name="设计原则" sheetId="2" r:id="R2c53998545e744f8"/>
    <x:sheet xmlns:r="http://schemas.openxmlformats.org/officeDocument/2006/relationships" name="研究构念" sheetId="3" r:id="R29f2c9bcb8a7484c"/>
    <x:sheet xmlns:r="http://schemas.openxmlformats.org/officeDocument/2006/relationships" name="候选变量字典" sheetId="4" r:id="R99f0893f083446fe"/>
    <x:sheet xmlns:r="http://schemas.openxmlformats.org/officeDocument/2006/relationships" name="计算与空值规则" sheetId="5" r:id="R1eb74690b99e42df"/>
    <x:sheet xmlns:r="http://schemas.openxmlformats.org/officeDocument/2006/relationships" name="来源字段映射" sheetId="6" r:id="R1ad36301e7d5441a"/>
    <x:sheet xmlns:r="http://schemas.openxmlformats.org/officeDocument/2006/relationships" name="验收检查" sheetId="7" r:id="R181031017d5b486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11">
    <x:font>
      <x:sz val="11"/>
      <x:name val="Carlito"/>
    </x:font>
    <x:font>
      <x:b/>
      <x:sz val="16"/>
      <x:color rgb="FFFFFFFF"/>
      <x:name val="Microsoft YaHei"/>
    </x:font>
    <x:font>
      <x:i/>
      <x:sz val="11"/>
      <x:color rgb="FF4B5563"/>
      <x:name val="Microsoft YaHei"/>
    </x:font>
    <x:font>
      <x:b/>
      <x:sz val="11"/>
      <x:color rgb="FFFFFFFF"/>
      <x:name val="Microsoft YaHei"/>
    </x:font>
    <x:font>
      <x:sz val="11"/>
      <x:name val="Microsoft YaHei"/>
    </x:font>
    <x:font>
      <x:b/>
      <x:sz val="11"/>
      <x:color rgb="FF4B5563"/>
      <x:name val="Microsoft YaHei"/>
    </x:font>
    <x:font>
      <x:b/>
      <x:sz val="11"/>
      <x:color rgb="FF0F766E"/>
      <x:name val="Microsoft YaHei"/>
    </x:font>
    <x:font>
      <x:sz val="11"/>
      <x:color rgb="FF111827"/>
      <x:name val="Microsoft YaHei"/>
    </x:font>
    <x:font>
      <x:sz val="11"/>
      <x:color rgb="FF008000"/>
      <x:name val="Microsoft YaHei"/>
    </x:font>
    <x:font>
      <x:sz val="11"/>
      <x:color rgb="FF92400E"/>
      <x:name val="Microsoft YaHei"/>
    </x:font>
    <x:font>
      <x:b/>
      <x:sz val="14"/>
      <x:color rgb="FF166534"/>
      <x:name val="Microsoft YaHei"/>
    </x:font>
  </x:fonts>
  <x:fills count="9">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DDF3EF"/>
      </x:patternFill>
    </x:fill>
    <x:fill>
      <x:patternFill patternType="solid">
        <x:fgColor rgb="FF0F766E"/>
      </x:patternFill>
    </x:fill>
    <x:fill>
      <x:patternFill patternType="solid">
        <x:fgColor rgb="FFEDE9FE"/>
      </x:patternFill>
    </x:fill>
    <x:fill>
      <x:patternFill patternType="solid">
        <x:fgColor rgb="FFFFF2CC"/>
      </x:patternFill>
    </x:fill>
    <x:fill>
      <x:patternFill patternType="solid">
        <x:fgColor rgb="FFDFF2E1"/>
      </x:patternFill>
    </x:fill>
  </x:fills>
  <x:borders count="15">
    <x:border/>
    <x:border>
      <x:right style="thin">
        <x:color rgb="FFD1D5DB"/>
      </x:right>
      <x:bottom style="thin">
        <x:color rgb="FFD1D5DB"/>
      </x:bottom>
    </x:border>
    <x:border>
      <x:left style="thin">
        <x:color rgb="FFD1D5DB"/>
      </x:left>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right style="thin">
        <x:color rgb="FFD1D5DB"/>
      </x:right>
      <x:top style="thin">
        <x:color rgb="FFD1D5DB"/>
      </x:top>
    </x:border>
    <x:border>
      <x:left style="thin">
        <x:color rgb="FFD1D5DB"/>
      </x:left>
      <x:top style="thin">
        <x:color rgb="FFD1D5DB"/>
      </x:top>
    </x:border>
    <x:border>
      <x:bottom style="thin">
        <x:color rgb="FFD1D5DB"/>
      </x:bottom>
    </x:border>
    <x:border>
      <x:left style="thin">
        <x:color rgb="FF0F766E"/>
      </x:left>
      <x:top style="thin">
        <x:color rgb="FF0F766E"/>
      </x:top>
      <x:bottom style="thin">
        <x:color rgb="FF0F766E"/>
      </x:bottom>
    </x:border>
    <x:border>
      <x:top style="thin">
        <x:color rgb="FF0F766E"/>
      </x:top>
      <x:bottom style="thin">
        <x:color rgb="FF0F766E"/>
      </x:bottom>
    </x:border>
    <x:border>
      <x:right style="thin">
        <x:color rgb="FF0F766E"/>
      </x:right>
      <x:top style="thin">
        <x:color rgb="FF0F766E"/>
      </x:top>
      <x:bottom style="thin">
        <x:color rgb="FF0F766E"/>
      </x:bottom>
    </x:border>
    <x:border>
      <x:top style="thin">
        <x:color rgb="FFD1D5DB"/>
      </x:top>
      <x:bottom style="thin">
        <x:color rgb="FFD1D5DB"/>
      </x:bottom>
    </x:border>
  </x:borders>
  <x:cellStyleXfs count="1">
    <x:xf numFmtId="0" fontId="0" fillId="0" borderId="0"/>
  </x:cellStyleXfs>
  <x:cellXfs count="1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extLst>
        <x:ext uri="{C7286773-470A-42A8-94C5-96B5CB345126}">
          <xfpb:xfComplement xmlns:xfpb="http://schemas.microsoft.com/office/spreadsheetml/2022/featurepropertybag" i="0"/>
        </x:ext>
      </x:extLst>
    </x:xf>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4" fillId="0" borderId="10" xfId="0" applyNumberFormat="1" applyFont="1" applyFill="1" applyBorder="1"/>
    <x:xf numFmtId="0" fontId="4" fillId="0" borderId="0"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0" xfId="0" applyNumberFormat="1" applyFont="1" applyFill="1" applyBorder="1" applyAlignment="1">
      <x:alignment vertical="center" wrapText="1"/>
    </x:xf>
    <x:xf numFmtId="0" fontId="4" fillId="0" borderId="1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4" fillId="4" borderId="10" xfId="0" applyNumberFormat="1" applyFont="1" applyFill="1" applyBorder="1" applyAlignment="1">
      <x:alignment vertical="center" wrapText="1"/>
    </x:xf>
    <x:xf numFmtId="0" fontId="6" fillId="4" borderId="0" xfId="0" applyNumberFormat="1" applyFont="1" applyFill="1" applyBorder="1" applyAlignment="1">
      <x:alignment vertical="center" wrapText="1"/>
    </x:xf>
    <x:xf numFmtId="0" fontId="6" fillId="4" borderId="10" xfId="0" applyNumberFormat="1" applyFont="1" applyFill="1" applyBorder="1" applyAlignment="1">
      <x:alignment vertical="center" wrapText="1"/>
    </x:xf>
    <x:xf numFmtId="0" fontId="6" fillId="4" borderId="0" xfId="0" applyNumberFormat="1" applyFont="1" applyFill="1" applyBorder="1" applyAlignment="1">
      <x:alignment horizontal="center" vertical="center" wrapText="1"/>
    </x:xf>
    <x:xf numFmtId="0" fontId="6" fillId="4" borderId="10"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3" fillId="5" borderId="11" xfId="0" applyNumberFormat="1" applyFont="1" applyFill="1" applyBorder="1"/>
    <x:xf numFmtId="0" fontId="3" fillId="5" borderId="12" xfId="0" applyNumberFormat="1" applyFont="1" applyFill="1" applyBorder="1"/>
    <x:xf numFmtId="0" fontId="3" fillId="5" borderId="13" xfId="0" applyNumberFormat="1" applyFont="1" applyFill="1" applyBorder="1"/>
    <x:xf numFmtId="0" fontId="3" fillId="5" borderId="11" xfId="0" applyNumberFormat="1" applyFont="1" applyFill="1" applyBorder="1" applyAlignment="1">
      <x:alignment wrapText="1"/>
    </x:xf>
    <x:xf numFmtId="0" fontId="3" fillId="5" borderId="12" xfId="0" applyNumberFormat="1" applyFont="1" applyFill="1" applyBorder="1" applyAlignment="1">
      <x:alignment wrapText="1"/>
    </x:xf>
    <x:xf numFmtId="0" fontId="3" fillId="5" borderId="13" xfId="0" applyNumberFormat="1" applyFont="1" applyFill="1" applyBorder="1" applyAlignment="1">
      <x:alignment wrapText="1"/>
    </x:xf>
    <x:xf numFmtId="0" fontId="3" fillId="5" borderId="11" xfId="0" applyNumberFormat="1" applyFont="1" applyFill="1" applyBorder="1" applyAlignment="1">
      <x:alignment horizontal="center" wrapText="1"/>
    </x:xf>
    <x:xf numFmtId="0" fontId="3" fillId="5" borderId="12" xfId="0" applyNumberFormat="1" applyFont="1" applyFill="1" applyBorder="1" applyAlignment="1">
      <x:alignment horizontal="center" wrapText="1"/>
    </x:xf>
    <x:xf numFmtId="0" fontId="3" fillId="5" borderId="13" xfId="0" applyNumberFormat="1" applyFont="1" applyFill="1" applyBorder="1" applyAlignment="1">
      <x:alignment horizontal="center" wrapText="1"/>
    </x:xf>
    <x:xf numFmtId="0" fontId="3" fillId="5" borderId="11" xfId="0" applyNumberFormat="1" applyFont="1" applyFill="1" applyBorder="1" applyAlignment="1">
      <x:alignment horizontal="center" vertical="center" wrapText="1"/>
    </x:xf>
    <x:xf numFmtId="0" fontId="3" fillId="5" borderId="12" xfId="0" applyNumberFormat="1" applyFont="1" applyFill="1" applyBorder="1" applyAlignment="1">
      <x:alignment horizontal="center" vertical="center" wrapText="1"/>
    </x:xf>
    <x:xf numFmtId="0" fontId="3" fillId="5" borderId="13" xfId="0" applyNumberFormat="1" applyFont="1" applyFill="1" applyBorder="1" applyAlignment="1">
      <x:alignment horizontal="center" vertical="center" wrapText="1"/>
    </x:xf>
    <x:xf numFmtId="0" fontId="7" fillId="0" borderId="0" xfId="0" applyNumberFormat="1" applyFont="1" applyFill="1" applyBorder="1"/>
    <x:xf numFmtId="0" fontId="7" fillId="0" borderId="10" xfId="0" applyNumberFormat="1" applyFont="1" applyFill="1" applyBorder="1"/>
    <x:xf numFmtId="0" fontId="7" fillId="0" borderId="14" xfId="0" applyNumberFormat="1" applyFont="1" applyFill="1" applyBorder="1"/>
    <x:xf numFmtId="0" fontId="7" fillId="0" borderId="10" xfId="0" applyNumberFormat="1" applyFont="1" applyFill="1" applyBorder="1" applyAlignment="1">
      <x:alignment wrapText="1"/>
    </x:xf>
    <x:xf numFmtId="0" fontId="7" fillId="0" borderId="14" xfId="0" applyNumberFormat="1" applyFont="1" applyFill="1" applyBorder="1" applyAlignment="1">
      <x:alignment wrapText="1"/>
    </x:xf>
    <x:xf numFmtId="0" fontId="7" fillId="0" borderId="10" xfId="0" applyNumberFormat="1" applyFont="1" applyFill="1" applyBorder="1" applyAlignment="1">
      <x:alignment vertical="top" wrapText="1"/>
    </x:xf>
    <x:xf numFmtId="0" fontId="7" fillId="0" borderId="14" xfId="0" applyNumberFormat="1" applyFont="1" applyFill="1" applyBorder="1" applyAlignment="1">
      <x:alignment vertical="top" wrapText="1"/>
    </x:xf>
    <x:xf numFmtId="0" fontId="8" fillId="0"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7" fillId="4" borderId="10" xfId="0" applyNumberFormat="1" applyFont="1" applyFill="1" applyBorder="1" applyAlignment="1">
      <x:alignment vertical="top" wrapText="1"/>
    </x:xf>
    <x:xf numFmtId="0" fontId="7" fillId="4" borderId="14" xfId="0" applyNumberFormat="1" applyFont="1" applyFill="1" applyBorder="1" applyAlignment="1">
      <x:alignment vertical="top" wrapText="1"/>
    </x:xf>
    <x:xf numFmtId="0" fontId="6" fillId="4" borderId="10" xfId="0" applyNumberFormat="1" applyFont="1" applyFill="1" applyBorder="1" applyAlignment="1">
      <x:alignment vertical="top" wrapText="1"/>
    </x:xf>
    <x:xf numFmtId="0" fontId="6" fillId="4" borderId="14" xfId="0" applyNumberFormat="1" applyFont="1" applyFill="1" applyBorder="1" applyAlignment="1">
      <x:alignment vertical="top" wrapText="1"/>
    </x:xf>
    <x:xf numFmtId="0" fontId="6" fillId="4" borderId="10" xfId="0" applyNumberFormat="1" applyFont="1" applyFill="1" applyBorder="1" applyAlignment="1">
      <x:alignment horizontal="center" vertical="top" wrapText="1"/>
    </x:xf>
    <x:xf numFmtId="0" fontId="6" fillId="4" borderId="14" xfId="0" applyNumberFormat="1" applyFont="1" applyFill="1" applyBorder="1" applyAlignment="1">
      <x:alignment horizontal="center" vertical="top" wrapText="1"/>
    </x:xf>
    <x:xf numFmtId="0" fontId="6" fillId="4" borderId="14" xfId="0" applyNumberFormat="1" applyFont="1" applyFill="1" applyBorder="1" applyAlignment="1">
      <x:alignment horizontal="center" vertical="center" wrapText="1"/>
    </x:xf>
    <x:xf numFmtId="0" fontId="6" fillId="4" borderId="14" xfId="0" applyNumberFormat="1" applyFont="1" applyFill="1" applyBorder="1" applyAlignment="1">
      <x:alignment vertical="center" wrapText="1"/>
    </x:xf>
    <x:xf numFmtId="200" fontId="7" fillId="0" borderId="10" xfId="0" applyNumberFormat="1" applyFont="1" applyFill="1" applyBorder="1" applyAlignment="1">
      <x:alignment vertical="top" wrapText="1"/>
    </x:xf>
    <x:xf numFmtId="200" fontId="7" fillId="0" borderId="14" xfId="0" applyNumberFormat="1" applyFont="1" applyFill="1" applyBorder="1" applyAlignment="1">
      <x:alignment vertical="top" wrapText="1"/>
    </x:xf>
    <x:xf numFmtId="201" fontId="7" fillId="0" borderId="10" xfId="0" applyNumberFormat="1" applyFont="1" applyFill="1" applyBorder="1" applyAlignment="1">
      <x:alignment vertical="top" wrapText="1"/>
    </x:xf>
    <x:xf numFmtId="201" fontId="7" fillId="0" borderId="14" xfId="0" applyNumberFormat="1" applyFont="1" applyFill="1" applyBorder="1" applyAlignment="1">
      <x:alignment vertical="top" wrapText="1"/>
    </x:xf>
    <x:xf numFmtId="0" fontId="8" fillId="0" borderId="10"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7" fillId="7" borderId="10" xfId="0" applyNumberFormat="1" applyFont="1" applyFill="1" applyBorder="1" applyAlignment="1">
      <x:alignment vertical="top" wrapText="1"/>
    </x:xf>
    <x:xf numFmtId="0" fontId="7" fillId="7" borderId="14" xfId="0" applyNumberFormat="1" applyFont="1" applyFill="1" applyBorder="1" applyAlignment="1">
      <x:alignment vertical="top" wrapText="1"/>
    </x:xf>
    <x:xf numFmtId="0" fontId="9" fillId="7" borderId="10" xfId="0" applyNumberFormat="1" applyFont="1" applyFill="1" applyBorder="1" applyAlignment="1">
      <x:alignment vertical="top" wrapText="1"/>
    </x:xf>
    <x:xf numFmtId="0" fontId="9" fillId="7" borderId="14" xfId="0" applyNumberFormat="1" applyFont="1" applyFill="1" applyBorder="1" applyAlignment="1">
      <x:alignment vertical="top" wrapText="1"/>
    </x:xf>
    <x:xf numFmtId="0" fontId="8" fillId="0" borderId="0" xfId="0" applyNumberFormat="1" applyFont="1" applyFill="1" applyBorder="1"/>
    <x:xf numFmtId="0" fontId="8" fillId="0" borderId="0" xfId="0" applyNumberFormat="1" applyFont="1" applyFill="1" applyBorder="1">
      <x:extLst>
        <x:ext uri="{C7286773-470A-42A8-94C5-96B5CB345126}">
          <xfpb:xfComplement xmlns:xfpb="http://schemas.microsoft.com/office/spreadsheetml/2022/featurepropertybag" i="0"/>
        </x:ext>
      </x:extLst>
    </x:xf>
    <x:xf numFmtId="0" fontId="8" fillId="0" borderId="10" xfId="0" applyNumberFormat="1" applyFont="1" applyFill="1" applyBorder="1"/>
    <x:xf numFmtId="0" fontId="8" fillId="0" borderId="10" xfId="0" applyNumberFormat="1" applyFont="1" applyFill="1" applyBorder="1">
      <x:extLst>
        <x:ext uri="{C7286773-470A-42A8-94C5-96B5CB345126}">
          <xfpb:xfComplement xmlns:xfpb="http://schemas.microsoft.com/office/spreadsheetml/2022/featurepropertybag" i="0"/>
        </x:ext>
      </x:extLst>
    </x:xf>
    <x:xf numFmtId="0" fontId="8" fillId="0" borderId="14" xfId="0" applyNumberFormat="1" applyFont="1" applyFill="1" applyBorder="1"/>
    <x:xf numFmtId="0" fontId="8" fillId="0" borderId="14" xfId="0" applyNumberFormat="1" applyFont="1" applyFill="1" applyBorder="1">
      <x:extLst>
        <x:ext uri="{C7286773-470A-42A8-94C5-96B5CB345126}">
          <xfpb:xfComplement xmlns:xfpb="http://schemas.microsoft.com/office/spreadsheetml/2022/featurepropertybag" i="0"/>
        </x:ext>
      </x:extLst>
    </x:xf>
    <x:xf numFmtId="0" fontId="8" fillId="0" borderId="10" xfId="0" applyNumberFormat="1" applyFont="1" applyFill="1" applyBorder="1" applyAlignment="1">
      <x:alignment wrapText="1"/>
    </x:xf>
    <x:xf numFmtId="0" fontId="8" fillId="0" borderId="10" xfId="0" applyNumberFormat="1" applyFont="1" applyFill="1" applyBorder="1" applyAlignment="1">
      <x:alignment wrapText="1"/>
      <x:extLst>
        <x:ext uri="{C7286773-470A-42A8-94C5-96B5CB345126}">
          <xfpb:xfComplement xmlns:xfpb="http://schemas.microsoft.com/office/spreadsheetml/2022/featurepropertybag" i="0"/>
        </x:ext>
      </x:extLst>
    </x:xf>
    <x:xf numFmtId="0" fontId="8" fillId="0" borderId="14" xfId="0" applyNumberFormat="1" applyFont="1" applyFill="1" applyBorder="1" applyAlignment="1">
      <x:alignment wrapText="1"/>
    </x:xf>
    <x:xf numFmtId="0" fontId="8" fillId="0" borderId="14" xfId="0" applyNumberFormat="1" applyFont="1" applyFill="1" applyBorder="1" applyAlignment="1">
      <x:alignment wrapText="1"/>
      <x:extLst>
        <x:ext uri="{C7286773-470A-42A8-94C5-96B5CB345126}">
          <xfpb:xfComplement xmlns:xfpb="http://schemas.microsoft.com/office/spreadsheetml/2022/featurepropertybag" i="0"/>
        </x:ext>
      </x:extLst>
    </x:xf>
    <x:xf numFmtId="0" fontId="8" fillId="0" borderId="1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8" fillId="0" borderId="1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8" fillId="0" borderId="10" xfId="0" applyNumberFormat="1" applyFont="1" applyFill="1" applyBorder="1" applyAlignment="1">
      <x:alignment vertical="top" wrapText="1"/>
    </x:xf>
    <x:xf numFmtId="200" fontId="8" fillId="0" borderId="14" xfId="0" applyNumberFormat="1" applyFont="1" applyFill="1" applyBorder="1" applyAlignment="1">
      <x:alignment vertical="top" wrapText="1"/>
    </x:xf>
    <x:xf numFmtId="0" fontId="7" fillId="0" borderId="0" xfId="0" applyNumberFormat="1" applyFont="1" applyFill="1" applyBorder="1">
      <x:extLst>
        <x:ext uri="{C7286773-470A-42A8-94C5-96B5CB345126}">
          <xfpb:xfComplement xmlns:xfpb="http://schemas.microsoft.com/office/spreadsheetml/2022/featurepropertybag" i="0"/>
        </x:ext>
      </x:extLst>
    </x:xf>
    <x:xf numFmtId="0" fontId="7" fillId="0" borderId="14" xfId="0" applyNumberFormat="1" applyFont="1" applyFill="1" applyBorder="1">
      <x:extLst>
        <x:ext uri="{C7286773-470A-42A8-94C5-96B5CB345126}">
          <xfpb:xfComplement xmlns:xfpb="http://schemas.microsoft.com/office/spreadsheetml/2022/featurepropertybag" i="0"/>
        </x:ext>
      </x:extLst>
    </x:xf>
    <x:xf numFmtId="0" fontId="7" fillId="0" borderId="14" xfId="0" applyNumberFormat="1" applyFont="1" applyFill="1" applyBorder="1" applyAlignment="1">
      <x:alignment wrapText="1"/>
      <x:extLst>
        <x:ext uri="{C7286773-470A-42A8-94C5-96B5CB345126}">
          <xfpb:xfComplement xmlns:xfpb="http://schemas.microsoft.com/office/spreadsheetml/2022/featurepropertybag" i="0"/>
        </x:ext>
      </x:extLst>
    </x:xf>
    <x:xf numFmtId="0" fontId="7" fillId="0" borderId="1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7" fillId="0" borderId="1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vertical="center" wrapText="1"/>
    </x:xf>
    <x:xf numFmtId="0" fontId="4" fillId="8" borderId="0" xfId="0" applyNumberFormat="1" applyFont="1" applyFill="1" applyBorder="1" applyAlignment="1">
      <x:alignment vertical="center" wrapText="1"/>
    </x:xf>
    <x:xf numFmtId="0" fontId="10" fillId="8" borderId="0" xfId="0" applyNumberFormat="1" applyFont="1" applyFill="1" applyBorder="1" applyAlignment="1">
      <x:alignment vertical="center" wrapText="1"/>
    </x:xf>
    <x:xf numFmtId="0" fontId="10" fillId="8" borderId="0" xfId="0" applyNumberFormat="1" applyFont="1" applyFill="1" applyBorder="1" applyAlignment="1">
      <x:alignment horizontal="center" vertical="center" wrapText="1"/>
    </x:xf>
  </x:cellXfs>
  <x:cellStyles count="1">
    <x:cellStyle name="Normal" xfId="0"/>
  </x:cellStyles>
  <x:dxfs count="11">
    <x:dxf>
      <x:font>
        <x:b/>
        <x:color rgb="FF166534"/>
      </x:font>
      <x:fill>
        <x:patternFill patternType="solid">
          <x:bgColor rgb="FFDDF3EF"/>
        </x:patternFill>
      </x:fill>
    </x:dxf>
    <x:dxf>
      <x:font>
        <x:color rgb="FF17324D"/>
      </x:font>
      <x:fill>
        <x:patternFill patternType="solid">
          <x:bgColor rgb="FFEAF2F8"/>
        </x:patternFill>
      </x:fill>
    </x:dxf>
    <x:dxf>
      <x:font>
        <x:b/>
        <x:color rgb="FF5B21B6"/>
      </x:font>
      <x:fill>
        <x:patternFill patternType="solid">
          <x:bgColor rgb="FFEDE9FE"/>
        </x:patternFill>
      </x:fill>
    </x:dxf>
    <x:dxf>
      <x:font>
        <x:b/>
        <x:color rgb="FF166534"/>
      </x:font>
      <x:fill>
        <x:patternFill patternType="solid">
          <x:bgColor rgb="FFDDF3EF"/>
        </x:patternFill>
      </x:fill>
    </x:dxf>
    <x:dxf>
      <x:font>
        <x:color rgb="FF17324D"/>
      </x:font>
      <x:fill>
        <x:patternFill patternType="solid">
          <x:bgColor rgb="FFEAF2F8"/>
        </x:patternFill>
      </x:fill>
    </x:dxf>
    <x:dxf>
      <x:font>
        <x:b/>
        <x:color rgb="FF5B21B6"/>
      </x:font>
      <x:fill>
        <x:patternFill patternType="solid">
          <x:bgColor rgb="FFEDE9FE"/>
        </x:patternFill>
      </x:fill>
    </x:dxf>
    <x:dxf>
      <x:font>
        <x:b/>
        <x:color rgb="FF991B1B"/>
      </x:font>
      <x:fill>
        <x:patternFill patternType="solid">
          <x:bgColor rgb="FFFDE2E2"/>
        </x:patternFill>
      </x:fill>
    </x:dxf>
    <x:dxf>
      <x:font>
        <x:b/>
        <x:color rgb="FF166534"/>
      </x:font>
      <x:fill>
        <x:patternFill patternType="solid">
          <x:bgColor rgb="FFDFF2E1"/>
        </x:patternFill>
      </x:fill>
    </x:dxf>
    <x:dxf>
      <x:font>
        <x:b/>
        <x:color rgb="FF991B1B"/>
      </x:font>
      <x:fill>
        <x:patternFill patternType="solid">
          <x:bgColor rgb="FFFDE2E2"/>
        </x:patternFill>
      </x:fill>
    </x:dxf>
    <x:dxf>
      <x:font>
        <x:b/>
        <x:color rgb="FF166534"/>
      </x:font>
      <x:fill>
        <x:patternFill patternType="solid">
          <x:bgColor rgb="FFDFF2E1"/>
        </x:patternFill>
      </x:fill>
    </x:dxf>
    <x:dxf>
      <x:font>
        <x:b/>
        <x:color rgb="FF991B1B"/>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e75b0d2c7654a49" /><Relationship Type="http://schemas.openxmlformats.org/officeDocument/2006/relationships/theme" Target="/xl/theme/theme1.xml" Id="Re675b24f13cf4618" /><Relationship Type="http://schemas.microsoft.com/office/2022/11/relationships/FeaturePropertyBag" Target="/xl/featurePropertyBag/featurePropertyBag.xml" Id="R6ad84ef1a4974d11" /><Relationship Type="http://schemas.openxmlformats.org/officeDocument/2006/relationships/sharedStrings" Target="/xl/sharedStrings.xml" Id="R5b43bd04b33448cd" /><Relationship Type="http://schemas.openxmlformats.org/officeDocument/2006/relationships/worksheet" Target="/xl/worksheets/sheet1.xml" Id="Rf45b8f8fec3c4e37" /><Relationship Type="http://schemas.openxmlformats.org/officeDocument/2006/relationships/worksheet" Target="/xl/worksheets/sheet2.xml" Id="R2c53998545e744f8" /><Relationship Type="http://schemas.openxmlformats.org/officeDocument/2006/relationships/worksheet" Target="/xl/worksheets/sheet3.xml" Id="R29f2c9bcb8a7484c" /><Relationship Type="http://schemas.openxmlformats.org/officeDocument/2006/relationships/worksheet" Target="/xl/worksheets/sheet4.xml" Id="R99f0893f083446fe" /><Relationship Type="http://schemas.openxmlformats.org/officeDocument/2006/relationships/worksheet" Target="/xl/worksheets/sheet5.xml" Id="R1eb74690b99e42df" /><Relationship Type="http://schemas.openxmlformats.org/officeDocument/2006/relationships/worksheet" Target="/xl/worksheets/sheet6.xml" Id="R1ad36301e7d5441a" /><Relationship Type="http://schemas.openxmlformats.org/officeDocument/2006/relationships/worksheet" Target="/xl/worksheets/sheet7.xml" Id="R181031017d5b486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9" hidden="0" customWidth="1"/>
    <x:col min="3" max="3" width="20" hidden="0" customWidth="1"/>
    <x:col min="4" max="4" width="29" hidden="0" customWidth="1"/>
    <x:col min="5" max="5" width="20" hidden="0" customWidth="1"/>
    <x:col min="6" max="6" width="29" hidden="0" customWidth="1"/>
    <x:col min="7" max="7" width="20" hidden="0" customWidth="1"/>
    <x:col min="8" max="8" width="33" hidden="0" customWidth="1"/>
  </x:cols>
  <x:sheetData>
    <x:row r="1" ht="32" customHeight="1">
      <x:c r="A1" s="3" t="str">
        <x:v>Week 9 · Stage 3 候选研究变量开发</x:v>
      </x:c>
      <x:c r="B1" s="3"/>
      <x:c r="C1" s="3"/>
      <x:c r="D1" s="3"/>
      <x:c r="E1" s="3"/>
      <x:c r="F1" s="3"/>
      <x:c r="G1" s="3"/>
      <x:c r="H1" s="3"/>
    </x:row>
    <x:row r="2" ht="34" customHeight="1">
      <x:c r="A2" s="7" t="str">
        <x:v>先冻结变量含义、来源、计算门槛和解释边界；本阶段不计算八家公司取值，不进行缺失率筛选或统计推断。</x:v>
      </x:c>
      <x:c r="B2" s="7"/>
      <x:c r="C2" s="7"/>
      <x:c r="D2" s="7"/>
      <x:c r="E2" s="7"/>
      <x:c r="F2" s="7"/>
      <x:c r="G2" s="7"/>
      <x:c r="H2" s="7"/>
    </x:row>
    <x:row r="3">
      <x:c r="A3" s="11"/>
      <x:c r="B3" s="11"/>
      <x:c r="C3" s="11"/>
      <x:c r="D3" s="11"/>
      <x:c r="E3" s="11"/>
      <x:c r="F3" s="11"/>
      <x:c r="G3" s="11"/>
      <x:c r="H3" s="11"/>
    </x:row>
    <x:row r="4" ht="24" customHeight="1">
      <x:c r="A4" s="9" t="str">
        <x:v>输入—处理—输出—验收</x:v>
      </x:c>
      <x:c r="B4" s="9"/>
      <x:c r="C4" s="9"/>
      <x:c r="D4" s="9"/>
      <x:c r="E4" s="9"/>
      <x:c r="F4" s="9"/>
      <x:c r="G4" s="9"/>
      <x:c r="H4" s="9"/>
    </x:row>
    <x:row r="5" ht="46" customHeight="1">
      <x:c r="A5" s="40" t="str">
        <x:v>输入</x:v>
      </x:c>
      <x:c r="B5" s="32" t="str">
        <x:v>Week8 Standard Dataset v1.0</x:v>
      </x:c>
      <x:c r="C5" s="43" t="str">
        <x:v>事实层</x:v>
      </x:c>
      <x:c r="D5" s="32" t="str">
        <x:v>Week 8冻结数据只读</x:v>
      </x:c>
      <x:c r="E5" s="43" t="str">
        <x:v>阶段编号</x:v>
      </x:c>
      <x:c r="F5" s="32" t="str">
        <x:v>Week 9 Stage 3</x:v>
      </x:c>
      <x:c r="G5" s="43" t="str">
        <x:v>事实层写入</x:v>
      </x:c>
      <x:c r="H5" s="33" t="b">
        <x:v>0</x:v>
      </x:c>
    </x:row>
    <x:row r="6" ht="46" customHeight="1">
      <x:c r="A6" s="41" t="str">
        <x:v>处理</x:v>
      </x:c>
      <x:c r="B6" s="35" t="str">
        <x:v>设计公司层候选变量及计算规则</x:v>
      </x:c>
      <x:c r="C6" s="44" t="str">
        <x:v>观察单位</x:v>
      </x:c>
      <x:c r="D6" s="35" t="str">
        <x:v>公司层（8家公司）</x:v>
      </x:c>
      <x:c r="E6" s="44" t="str">
        <x:v>支持层</x:v>
      </x:c>
      <x:c r="F6" s="35" t="str">
        <x:v>融资轮、交易、主体、路径和证据</x:v>
      </x:c>
      <x:c r="G6" s="44" t="str">
        <x:v>当前计算</x:v>
      </x:c>
      <x:c r="H6" s="36" t="str">
        <x:v>不执行</x:v>
      </x:c>
    </x:row>
    <x:row r="7" ht="46" customHeight="1">
      <x:c r="A7" s="41" t="str">
        <x:v>输出</x:v>
      </x:c>
      <x:c r="B7" s="35" t="str">
        <x:v>变量字典、构念分组、计算/null规则、来源字段映射</x:v>
      </x:c>
      <x:c r="C7" s="44" t="str">
        <x:v>变量状态</x:v>
      </x:c>
      <x:c r="D7" s="35" t="str">
        <x:v>候选定义完成，尚未计算</x:v>
      </x:c>
      <x:c r="E7" s="44" t="str">
        <x:v>下一阶段</x:v>
      </x:c>
      <x:c r="F7" s="35" t="str">
        <x:v>Stage 4 变量可计算性与缺失情况检查</x:v>
      </x:c>
      <x:c r="G7" s="44" t="str">
        <x:v>推断统计</x:v>
      </x:c>
      <x:c r="H7" s="36" t="str">
        <x:v>不执行</x:v>
      </x:c>
    </x:row>
    <x:row r="8" ht="46" customHeight="1">
      <x:c r="A8" s="42" t="str">
        <x:v>验收</x:v>
      </x:c>
      <x:c r="B8" s="38" t="str">
        <x:v>变量ID唯一、规则完整、Schema映射有效、事实层未修改</x:v>
      </x:c>
      <x:c r="C8" s="45" t="str">
        <x:v>核心候选</x:v>
      </x:c>
      <x:c r="D8" s="38" t="n">
        <x:v>11</x:v>
      </x:c>
      <x:c r="E8" s="45" t="str">
        <x:v>扩展候选</x:v>
      </x:c>
      <x:c r="F8" s="38" t="n">
        <x:v>15</x:v>
      </x:c>
      <x:c r="G8" s="45" t="str">
        <x:v>质量变量</x:v>
      </x:c>
      <x:c r="H8" s="39" t="n">
        <x:v>6</x:v>
      </x:c>
    </x:row>
    <x:row r="9">
      <x:c r="A9" s="11"/>
      <x:c r="B9" s="11"/>
      <x:c r="C9" s="11"/>
      <x:c r="D9" s="11"/>
      <x:c r="E9" s="11"/>
      <x:c r="F9" s="11"/>
      <x:c r="G9" s="11"/>
      <x:c r="H9" s="11"/>
    </x:row>
    <x:row r="10" ht="24" customHeight="1">
      <x:c r="A10" s="9" t="str">
        <x:v>为什么先定义、后计算</x:v>
      </x:c>
      <x:c r="B10" s="9"/>
      <x:c r="C10" s="9"/>
      <x:c r="D10" s="9"/>
      <x:c r="E10" s="9"/>
      <x:c r="F10" s="9"/>
      <x:c r="G10" s="9"/>
      <x:c r="H10" s="9"/>
    </x:row>
    <x:row r="11" ht="42" customHeight="1">
      <x:c r="A11" s="55" t="str">
        <x:v>1</x:v>
      </x:c>
      <x:c r="B11" s="49" t="str">
        <x:v>避免结果导向改定义</x:v>
      </x:c>
      <x:c r="C11" s="49" t="str">
        <x:v>先写清变量定义，再查看八家公司取值，防止为了减少缺失或得到好看的分布而改变口径。</x:v>
      </x:c>
      <x:c r="D11" s="49" t="str"/>
      <x:c r="E11" s="55" t="str">
        <x:v>2</x:v>
      </x:c>
      <x:c r="F11" s="49" t="str">
        <x:v>保护Week 8事实层</x:v>
      </x:c>
      <x:c r="G11" s="49" t="str">
        <x:v>第三阶段只建立研究变量层，不回写原始披露、标准化事实或研究判断。</x:v>
      </x:c>
      <x:c r="H11" s="49" t="str"/>
    </x:row>
    <x:row r="12" ht="42" customHeight="1">
      <x:c r="A12" s="55" t="str">
        <x:v>3</x:v>
      </x:c>
      <x:c r="B12" s="49" t="str">
        <x:v>区分研究问题</x:v>
      </x:c>
      <x:c r="C12" s="49" t="str">
        <x:v>融资发生、融资频度、融资规模、PE/VC参与、进入时点和转让流动分别建变量。</x:v>
      </x:c>
      <x:c r="D12" s="49" t="str"/>
      <x:c r="E12" s="55" t="str">
        <x:v>4</x:v>
      </x:c>
      <x:c r="F12" s="49" t="str">
        <x:v>保留null语义</x:v>
      </x:c>
      <x:c r="G12" s="49" t="str">
        <x:v>未知、不可计算、不适用和明确0分别处理；比率变量必须设置分母闸门。</x:v>
      </x:c>
      <x:c r="H12" s="49" t="str"/>
    </x:row>
    <x:row r="13" ht="42" customHeight="1">
      <x:c r="A13" s="55" t="str">
        <x:v>5</x:v>
      </x:c>
      <x:c r="B13" s="49" t="str">
        <x:v>小样本约束</x:v>
      </x:c>
      <x:c r="C13" s="49" t="str">
        <x:v>变量主要服务描述、后续扩样和代表性公司选择，不支持当前8家公司上的因果结论。</x:v>
      </x:c>
      <x:c r="D13" s="49" t="str"/>
      <x:c r="E13" s="55" t="str">
        <x:v>6</x:v>
      </x:c>
      <x:c r="F13" s="49" t="str">
        <x:v>同族变量二选一</x:v>
      </x:c>
      <x:c r="G13" s="49" t="str">
        <x:v>原始/对数金额、PE/VC参与/数量/占比通常是替代项，不在同一小样本模型堆叠。</x:v>
      </x:c>
      <x:c r="H13" s="49" t="str"/>
    </x:row>
    <x:row r="14" ht="42" customHeight="1">
      <x:c r="A14" s="55" t="str">
        <x:v>7</x:v>
      </x:c>
      <x:c r="B14" s="49" t="str">
        <x:v>质量变量伴随报告</x:v>
      </x:c>
      <x:c r="C14" s="49" t="str">
        <x:v>金额、日期和路径变量需同时报告覆盖率或计算门槛。</x:v>
      </x:c>
      <x:c r="D14" s="49" t="str"/>
      <x:c r="E14" s="55" t="str">
        <x:v>8</x:v>
      </x:c>
      <x:c r="F14" s="49" t="str">
        <x:v>融资与转让不合并</x:v>
      </x:c>
      <x:c r="G14" s="49" t="str">
        <x:v>可计算相对比率，但不得把转让对价加到发行人融资金额中。</x:v>
      </x:c>
      <x:c r="H14" s="49" t="str"/>
    </x:row>
    <x:row r="15" ht="42" customHeight="1">
      <x:c r="A15" s="56" t="str">
        <x:v>结论</x:v>
      </x:c>
      <x:c r="B15" s="50" t="str">
        <x:v>本阶段冻结的是“变量规则”</x:v>
      </x:c>
      <x:c r="C15" s="50" t="str">
        <x:v>八家公司具体取值、有效N、缺失率和是否保留，将在Stage 4按本字典计算。</x:v>
      </x:c>
      <x:c r="D15" s="50" t="str"/>
      <x:c r="E15" s="56" t="str">
        <x:v>状态</x:v>
      </x:c>
      <x:c r="F15" s="50" t="str">
        <x:v>CANDIDATE_DEFINED_NOT_COMPUTED</x:v>
      </x:c>
      <x:c r="G15" s="50" t="str">
        <x:v>进入下一阶段条件</x:v>
      </x:c>
      <x:c r="H15" s="50" t="str">
        <x:v>用户确认Stage 3</x:v>
      </x:c>
    </x:row>
    <x:row r="16">
      <x:c r="A16" s="11"/>
      <x:c r="B16" s="11"/>
      <x:c r="C16" s="11"/>
      <x:c r="D16" s="11"/>
      <x:c r="E16" s="11"/>
      <x:c r="F16" s="11"/>
      <x:c r="G16" s="11"/>
      <x:c r="H16" s="11"/>
    </x:row>
    <x:row r="17" ht="24" customHeight="1">
      <x:c r="A17" s="9" t="str">
        <x:v>候选变量优先级</x:v>
      </x:c>
      <x:c r="B17" s="9"/>
      <x:c r="C17" s="9"/>
      <x:c r="D17" s="9"/>
      <x:c r="E17" s="9"/>
      <x:c r="F17" s="9"/>
      <x:c r="G17" s="9"/>
      <x:c r="H17" s="9"/>
    </x:row>
    <x:row r="18" ht="46" customHeight="1">
      <x:c r="A18" s="68" t="str">
        <x:v>优先级</x:v>
      </x:c>
      <x:c r="B18" s="69" t="str">
        <x:v>数量</x:v>
      </x:c>
      <x:c r="C18" s="69" t="str">
        <x:v>用途</x:v>
      </x:c>
      <x:c r="D18" s="69" t="str"/>
      <x:c r="E18" s="69" t="str">
        <x:v>保留原则</x:v>
      </x:c>
      <x:c r="F18" s="69" t="str"/>
      <x:c r="G18" s="69" t="str">
        <x:v>本阶段含义</x:v>
      </x:c>
      <x:c r="H18" s="70" t="str"/>
    </x:row>
    <x:row r="19" ht="46" customHeight="1">
      <x:c r="A19" s="76" t="str">
        <x:v>A核心</x:v>
      </x:c>
      <x:c r="B19" s="76" t="n">
        <x:v>11</x:v>
      </x:c>
      <x:c r="C19" s="76" t="str">
        <x:v>优先进入Stage 4计算；直接回答融资、PE/VC和转让的核心问题。</x:v>
      </x:c>
      <x:c r="D19" s="76" t="str"/>
      <x:c r="E19" s="76" t="str">
        <x:v>除非不可计算或存在严重口径冲突，否则优先保留。</x:v>
      </x:c>
      <x:c r="F19" s="76" t="str"/>
      <x:c r="G19" s="76" t="str">
        <x:v>候选，不是最终模型变量。</x:v>
      </x:c>
      <x:c r="H19" s="76" t="str"/>
    </x:row>
    <x:row r="20" ht="46" customHeight="1">
      <x:c r="A20" s="77" t="str">
        <x:v>B扩展</x:v>
      </x:c>
      <x:c r="B20" s="77" t="n">
        <x:v>15</x:v>
      </x:c>
      <x:c r="C20" s="77" t="str">
        <x:v>用于机制、路径、稳健性和代表性公司筛选。</x:v>
      </x:c>
      <x:c r="D20" s="77" t="str"/>
      <x:c r="E20" s="77" t="str">
        <x:v>根据覆盖率、重复性和解释增量再决定。</x:v>
      </x:c>
      <x:c r="F20" s="77" t="str"/>
      <x:c r="G20" s="77" t="str">
        <x:v>允许因数据不足暂缓。</x:v>
      </x:c>
      <x:c r="H20" s="77" t="str"/>
    </x:row>
    <x:row r="21" ht="46" customHeight="1">
      <x:c r="A21" s="77" t="str">
        <x:v>Q质量</x:v>
      </x:c>
      <x:c r="B21" s="77" t="n">
        <x:v>6</x:v>
      </x:c>
      <x:c r="C21" s="77" t="str">
        <x:v>报告数据基础、计算门槛与披露边界。</x:v>
      </x:c>
      <x:c r="D21" s="77" t="str"/>
      <x:c r="E21" s="77" t="str">
        <x:v>原则上伴随实体指标报告，不作公司优劣指标。</x:v>
      </x:c>
      <x:c r="F21" s="77" t="str"/>
      <x:c r="G21" s="77" t="str">
        <x:v>不能替代融资或PE/VC实体变量。</x:v>
      </x:c>
      <x:c r="H21" s="77" t="str"/>
    </x:row>
    <x:row r="22">
      <x:c r="A22" s="11"/>
      <x:c r="B22" s="11"/>
      <x:c r="C22" s="11"/>
      <x:c r="D22" s="11"/>
      <x:c r="E22" s="11"/>
      <x:c r="F22" s="11"/>
      <x:c r="G22" s="11"/>
      <x:c r="H22" s="11"/>
    </x:row>
    <x:row r="23" ht="24" customHeight="1">
      <x:c r="A23" s="9" t="str">
        <x:v>颜色图例</x:v>
      </x:c>
      <x:c r="B23" s="9"/>
      <x:c r="C23" s="9"/>
      <x:c r="D23" s="9"/>
      <x:c r="E23" s="9"/>
      <x:c r="F23" s="9"/>
      <x:c r="G23" s="9"/>
      <x:c r="H23" s="9"/>
    </x:row>
    <x:row r="24" ht="30" customHeight="1">
      <x:c r="A24" s="78" t="str">
        <x:v>绿色文字</x:v>
      </x:c>
      <x:c r="B24" s="78" t="str">
        <x:v>Week 8 Schema来源字段</x:v>
      </x:c>
      <x:c r="C24" s="51" t="str">
        <x:v>浅绿</x:v>
      </x:c>
      <x:c r="D24" s="51" t="str">
        <x:v>A核心</x:v>
      </x:c>
      <x:c r="E24" s="79" t="str">
        <x:v>浅蓝</x:v>
      </x:c>
      <x:c r="F24" s="79" t="str">
        <x:v>B扩展</x:v>
      </x:c>
      <x:c r="G24" s="80" t="str">
        <x:v>浅紫</x:v>
      </x:c>
      <x:c r="H24" s="80" t="str">
        <x:v>Q质量</x:v>
      </x:c>
    </x:row>
  </x:sheetData>
  <x:mergeCells>
    <x:mergeCell ref="A1:H1"/>
    <x:mergeCell ref="A2:H2"/>
    <x:mergeCell ref="A4:H4"/>
    <x:mergeCell ref="A10:H10"/>
    <x:mergeCell ref="C11:D11"/>
    <x:mergeCell ref="G11:H11"/>
    <x:mergeCell ref="C12:D12"/>
    <x:mergeCell ref="G12:H12"/>
    <x:mergeCell ref="C13:D13"/>
    <x:mergeCell ref="G13:H13"/>
    <x:mergeCell ref="C14:D14"/>
    <x:mergeCell ref="G14:H14"/>
    <x:mergeCell ref="C15:D15"/>
    <x:mergeCell ref="G15:H15"/>
    <x:mergeCell ref="A17:H17"/>
    <x:mergeCell ref="C18:D18"/>
    <x:mergeCell ref="E18:F18"/>
    <x:mergeCell ref="G18:H18"/>
    <x:mergeCell ref="C19:D19"/>
    <x:mergeCell ref="E19:F19"/>
    <x:mergeCell ref="G19:H19"/>
    <x:mergeCell ref="C20:D20"/>
    <x:mergeCell ref="E20:F20"/>
    <x:mergeCell ref="G20:H20"/>
    <x:mergeCell ref="C21:D21"/>
    <x:mergeCell ref="E21:F21"/>
    <x:mergeCell ref="G21:H21"/>
    <x:mergeCell ref="A23:H23"/>
  </x:mergeCells>
  <x:conditionalFormatting sqref="A19:B21">
    <x:cfRule type="expression" dxfId="0" priority="1">
      <x:formula>$A19="A核心"</x:formula>
    </x:cfRule>
    <x:cfRule type="expression" dxfId="1" priority="2">
      <x:formula>$A19="B扩展"</x:formula>
    </x:cfRule>
    <x:cfRule type="expression" dxfId="2" priority="3">
      <x:formula>$A19="Q质量"</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72" hidden="0" customWidth="1"/>
    <x:col min="4" max="4" width="58" hidden="0" customWidth="1"/>
  </x:cols>
  <x:sheetData>
    <x:row r="1" ht="32" customHeight="1">
      <x:c r="A1" s="3" t="str">
        <x:v>变量开发原则</x:v>
      </x:c>
      <x:c r="B1" s="3"/>
      <x:c r="C1" s="3"/>
      <x:c r="D1" s="3"/>
    </x:row>
    <x:row r="2" ht="34" customHeight="1">
      <x:c r="A2" s="7" t="str">
        <x:v>这些原则先于任何具体取值；Stage 4不得为了减少缺失而悄然改变它们。</x:v>
      </x:c>
      <x:c r="B2" s="7"/>
      <x:c r="C2" s="7"/>
      <x:c r="D2" s="7"/>
    </x:row>
    <x:row r="3">
      <x:c r="A3" s="11"/>
      <x:c r="B3" s="11"/>
      <x:c r="C3" s="11"/>
      <x:c r="D3" s="11"/>
    </x:row>
    <x:row r="4" ht="34" customHeight="1">
      <x:c r="A4" s="68" t="str">
        <x:v>原则ID</x:v>
      </x:c>
      <x:c r="B4" s="69" t="str">
        <x:v>原则</x:v>
      </x:c>
      <x:c r="C4" s="69" t="str">
        <x:v>具体规则</x:v>
      </x:c>
      <x:c r="D4" s="70" t="str">
        <x:v>为什么需要</x:v>
      </x:c>
    </x:row>
    <x:row r="5" ht="58" customHeight="1">
      <x:c r="A5" s="56" t="str">
        <x:v>P01</x:v>
      </x:c>
      <x:c r="B5" s="76" t="str">
        <x:v>观察单位先固定</x:v>
      </x:c>
      <x:c r="C5" s="76" t="str">
        <x:v>第三阶段主变量统一定义在公司层；轮次、交易、主体和路径只作为计算来源。</x:v>
      </x:c>
      <x:c r="D5" s="76" t="str">
        <x:v>防止把18轮、19条交易或67条路径误当成32个可直接比较的公司样本。</x:v>
      </x:c>
    </x:row>
    <x:row r="6" ht="58" customHeight="1">
      <x:c r="A6" s="87" t="str">
        <x:v>P02</x:v>
      </x:c>
      <x:c r="B6" s="77" t="str">
        <x:v>发生、强度、结构分开</x:v>
      </x:c>
      <x:c r="C6" s="77" t="str">
        <x:v>是否发生用二元变量，发生多少用计数/金额，如何发生用结构或时点变量。</x:v>
      </x:c>
      <x:c r="D6" s="77" t="str">
        <x:v>同一变量不承担多个不同研究问题。</x:v>
      </x:c>
    </x:row>
    <x:row r="7" ht="58" customHeight="1">
      <x:c r="A7" s="87" t="str">
        <x:v>P03</x:v>
      </x:c>
      <x:c r="B7" s="77" t="str">
        <x:v>融资与转让严格分离</x:v>
      </x:c>
      <x:c r="C7" s="77" t="str">
        <x:v>发行人融资金额和存量股权转让对价不相加。</x:v>
      </x:c>
      <x:c r="D7" s="77" t="str">
        <x:v>二者资金流对象不同；仅允许在状态可比时计算带警示的比率。</x:v>
      </x:c>
    </x:row>
    <x:row r="8" ht="58" customHeight="1">
      <x:c r="A8" s="87" t="str">
        <x:v>P04</x:v>
      </x:c>
      <x:c r="B8" s="77" t="str">
        <x:v>null不是0</x:v>
      </x:c>
      <x:c r="C8" s="77" t="str">
        <x:v>未知、不可计算、不适用和明确为零分别处理。</x:v>
      </x:c>
      <x:c r="D8" s="77" t="str">
        <x:v>避免把披露不足系统性解释成没有发生。</x:v>
      </x:c>
    </x:row>
    <x:row r="9" ht="58" customHeight="1">
      <x:c r="A9" s="87" t="str">
        <x:v>P05</x:v>
      </x:c>
      <x:c r="B9" s="77" t="str">
        <x:v>来源层显式标注</x:v>
      </x:c>
      <x:c r="C9" s="77" t="str">
        <x:v>原文披露、标准化、计算和研究判断派生保持分层。</x:v>
      </x:c>
      <x:c r="D9" s="77" t="str">
        <x:v>PE/VC变量尤其依赖研究判断，不能伪装成纯披露事实。</x:v>
      </x:c>
    </x:row>
    <x:row r="10" ht="58" customHeight="1">
      <x:c r="A10" s="87" t="str">
        <x:v>P06</x:v>
      </x:c>
      <x:c r="B10" s="77" t="str">
        <x:v>分母设闸门</x:v>
      </x:c>
      <x:c r="C10" s="77" t="str">
        <x:v>所有比例变量必须先验证分母非null且大于0。</x:v>
      </x:c>
      <x:c r="D10" s="77" t="str">
        <x:v>避免除零和把不适用值写成0。</x:v>
      </x:c>
    </x:row>
    <x:row r="11" ht="58" customHeight="1">
      <x:c r="A11" s="87" t="str">
        <x:v>P07</x:v>
      </x:c>
      <x:c r="B11" s="77" t="str">
        <x:v>覆盖率伴随实体指标</x:v>
      </x:c>
      <x:c r="C11" s="77" t="str">
        <x:v>轮次金额、日期、路径变量都配套覆盖率或计算门槛。</x:v>
      </x:c>
      <x:c r="D11" s="77" t="str">
        <x:v>缺失轮次不能被默认较小、较晚或无PE/VC。</x:v>
      </x:c>
    </x:row>
    <x:row r="12" ht="58" customHeight="1">
      <x:c r="A12" s="87" t="str">
        <x:v>P08</x:v>
      </x:c>
      <x:c r="B12" s="77" t="str">
        <x:v>变换变量是替代项</x:v>
      </x:c>
      <x:c r="C12" s="77" t="str">
        <x:v>原始金额与对数金额、PE/VC参与/数量/占比属于同族替代变量。</x:v>
      </x:c>
      <x:c r="D12" s="77" t="str">
        <x:v>8家公司不适合堆叠高度相关变量。</x:v>
      </x:c>
    </x:row>
    <x:row r="13" ht="58" customHeight="1">
      <x:c r="A13" s="87" t="str">
        <x:v>P09</x:v>
      </x:c>
      <x:c r="B13" s="77" t="str">
        <x:v>小样本只做探索</x:v>
      </x:c>
      <x:c r="C13" s="77" t="str">
        <x:v>变量用于描述、案例选择和未来扩样准备。</x:v>
      </x:c>
      <x:c r="D13" s="77" t="str">
        <x:v>本阶段不做显著性、因果或总体推断。</x:v>
      </x:c>
    </x:row>
    <x:row r="14" ht="58" customHeight="1">
      <x:c r="A14" s="87" t="str">
        <x:v>P10</x:v>
      </x:c>
      <x:c r="B14" s="77" t="str">
        <x:v>定义先于计算</x:v>
      </x:c>
      <x:c r="C14" s="77" t="str">
        <x:v>第三阶段冻结变量定义；第四阶段才计算八家公司取值和缺失率。</x:v>
      </x:c>
      <x:c r="D14" s="77" t="str">
        <x:v>防止根据结果好不好看反向修改定义。</x:v>
      </x:c>
    </x:row>
  </x:sheetData>
  <x:mergeCells>
    <x:mergeCell ref="A1:D1"/>
    <x:mergeCell ref="A2:D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46" hidden="0" customWidth="1"/>
    <x:col min="3" max="3" width="32" hidden="0" customWidth="1"/>
    <x:col min="4" max="4" width="62" hidden="0" customWidth="1"/>
    <x:col min="5" max="5" width="58" hidden="0" customWidth="1"/>
    <x:col min="6" max="6" width="58" hidden="0" customWidth="1"/>
  </x:cols>
  <x:sheetData>
    <x:row r="1" ht="32" customHeight="1">
      <x:c r="A1" s="3" t="str">
        <x:v>研究构念与变量选择逻辑</x:v>
      </x:c>
      <x:c r="B1" s="3"/>
      <x:c r="C1" s="3"/>
      <x:c r="D1" s="3"/>
      <x:c r="E1" s="3"/>
      <x:c r="F1" s="3"/>
    </x:row>
    <x:row r="2" ht="34" customHeight="1">
      <x:c r="A2" s="7" t="str">
        <x:v>先确定研究问题，再从同一变量族中选择最合适的表示，避免在8家公司中堆叠高度相关指标。</x:v>
      </x:c>
      <x:c r="B2" s="7"/>
      <x:c r="C2" s="7"/>
      <x:c r="D2" s="7"/>
      <x:c r="E2" s="7"/>
      <x:c r="F2" s="7"/>
    </x:row>
    <x:row r="3">
      <x:c r="A3" s="11"/>
      <x:c r="B3" s="11"/>
      <x:c r="C3" s="11"/>
      <x:c r="D3" s="11"/>
      <x:c r="E3" s="11"/>
      <x:c r="F3" s="11"/>
    </x:row>
    <x:row r="4" ht="34" customHeight="1">
      <x:c r="A4" s="68" t="str">
        <x:v>研究构念</x:v>
      </x:c>
      <x:c r="B4" s="69" t="str">
        <x:v>要回答的问题</x:v>
      </x:c>
      <x:c r="C4" s="69" t="str">
        <x:v>优先候选</x:v>
      </x:c>
      <x:c r="D4" s="69" t="str">
        <x:v>为什么这样定义</x:v>
      </x:c>
      <x:c r="E4" s="69" t="str">
        <x:v>变量选择规则</x:v>
      </x:c>
      <x:c r="F4" s="70" t="str">
        <x:v>解释边界</x:v>
      </x:c>
    </x:row>
    <x:row r="5" ht="72" customHeight="1">
      <x:c r="A5" s="54" t="str">
        <x:v>融资经历与频度</x:v>
      </x:c>
      <x:c r="B5" s="76" t="str">
        <x:v>公司是否融资、融资多少轮？</x:v>
      </x:c>
      <x:c r="C5" s="76" t="str">
        <x:v>CV001、CV002</x:v>
      </x:c>
      <x:c r="D5" s="76" t="str">
        <x:v>先区分发生与频度，避免把0轮和金额缺失混在一起。</x:v>
      </x:c>
      <x:c r="E5" s="76" t="str">
        <x:v>二元分组用CV001；比较轮次数用CV002。</x:v>
      </x:c>
      <x:c r="F5" s="76" t="str">
        <x:v>不据此判断融资难易或企业质量。</x:v>
      </x:c>
    </x:row>
    <x:row r="6" ht="72" customHeight="1">
      <x:c r="A6" s="88" t="str">
        <x:v>融资规模</x:v>
      </x:c>
      <x:c r="B6" s="77" t="str">
        <x:v>可核验的发行人融资规模有多大？</x:v>
      </x:c>
      <x:c r="C6" s="77" t="str">
        <x:v>CV003；CV004作替代</x:v>
      </x:c>
      <x:c r="D6" s="77" t="str">
        <x:v>原始金额保留经济含义，对数值缓解右偏。</x:v>
      </x:c>
      <x:c r="E6" s="77" t="str">
        <x:v>同一分析中通常在CV003和CV004中二选一。</x:v>
      </x:c>
      <x:c r="F6" s="77" t="str">
        <x:v>始终保留下限/完整状态，不含转让对价。</x:v>
      </x:c>
    </x:row>
    <x:row r="7" ht="72" customHeight="1">
      <x:c r="A7" s="88" t="str">
        <x:v>单轮规模与集中度</x:v>
      </x:c>
      <x:c r="B7" s="77" t="str">
        <x:v>融资由多轮均匀构成还是集中于少数大轮？</x:v>
      </x:c>
      <x:c r="C7" s="77" t="str">
        <x:v>CV005；CV006—CV008补充</x:v>
      </x:c>
      <x:c r="D7" s="77" t="str">
        <x:v>总额相同的公司可能具有完全不同的轮次结构。</x:v>
      </x:c>
      <x:c r="E7" s="77" t="str">
        <x:v>先看覆盖率CV028，再决定是否解释CV005—CV008。</x:v>
      </x:c>
      <x:c r="F7" s="77" t="str">
        <x:v>只描述已知金额轮次，不能假定缺失轮次较小。</x:v>
      </x:c>
    </x:row>
    <x:row r="8" ht="72" customHeight="1">
      <x:c r="A8" s="88" t="str">
        <x:v>融资节奏</x:v>
      </x:c>
      <x:c r="B8" s="77" t="str">
        <x:v>融资活动持续多久、典型间隔多长？</x:v>
      </x:c>
      <x:c r="C8" s="77" t="str">
        <x:v>CV009、CV010</x:v>
      </x:c>
      <x:c r="D8" s="77" t="str">
        <x:v>轮次数无法反映活动在时间上的集中或分散。</x:v>
      </x:c>
      <x:c r="E8" s="77" t="str">
        <x:v>日期覆盖充分且至少2个可用时点后计算。</x:v>
      </x:c>
      <x:c r="F8" s="77" t="str">
        <x:v>按月份计算，不把MONTH精度伪装成具体日。</x:v>
      </x:c>
    </x:row>
    <x:row r="9" ht="72" customHeight="1">
      <x:c r="A9" s="88" t="str">
        <x:v>PE/VC参与程度</x:v>
      </x:c>
      <x:c r="B9" s="77" t="str">
        <x:v>是否参与、参与主体有多少、相对占比多高？</x:v>
      </x:c>
      <x:c r="C9" s="77" t="str">
        <x:v>CV011；CV012或CV013作强度替代</x:v>
      </x:c>
      <x:c r="D9" s="77" t="str">
        <x:v>参与、绝对数量和相对占比分别回答不同问题。</x:v>
      </x:c>
      <x:c r="E9" s="77" t="str">
        <x:v>小样本分析中通常三者择一，不并列堆入模型。</x:v>
      </x:c>
      <x:c r="F9" s="77" t="str">
        <x:v>只计PEVC_CONFIRMED，不自动纳入候选或关联主体。</x:v>
      </x:c>
    </x:row>
    <x:row r="10" ht="72" customHeight="1">
      <x:c r="A10" s="88" t="str">
        <x:v>PE/VC进入时点与路径</x:v>
      </x:c>
      <x:c r="B10" s="77" t="str">
        <x:v>PE/VC何时、通过何种层级和方式进入？</x:v>
      </x:c>
      <x:c r="C10" s="77" t="str">
        <x:v>CV015、CV017、CV018、CV019</x:v>
      </x:c>
      <x:c r="D10" s="77" t="str">
        <x:v>从简单主体计数推进到投资路径与进入机制。</x:v>
      </x:c>
      <x:c r="E10" s="77" t="str">
        <x:v>先验证路径日期及融资轮链接，再使用相对位置变量。</x:v>
      </x:c>
      <x:c r="F10" s="77" t="str">
        <x:v>首次披露时点不等于首次接触；间接路径不等于控制权。</x:v>
      </x:c>
    </x:row>
    <x:row r="11" ht="72" customHeight="1">
      <x:c r="A11" s="88" t="str">
        <x:v>参与结构与融资机制</x:v>
      </x:c>
      <x:c r="B11" s="77" t="str">
        <x:v>投资方有多广、融资方式是否多样？</x:v>
      </x:c>
      <x:c r="C11" s="77" t="str">
        <x:v>CV020—CV023</x:v>
      </x:c>
      <x:c r="D11" s="77" t="str">
        <x:v>帮助选择主体密集、融资结构复杂的代表性公司。</x:v>
      </x:c>
      <x:c r="E11" s="77" t="str">
        <x:v>直接主体与融资投资方必须使用各自范围，不混用。</x:v>
      </x:c>
      <x:c r="F11" s="77" t="str">
        <x:v>法律主体数不等于品牌或投资体系数。</x:v>
      </x:c>
    </x:row>
    <x:row r="12" ht="72" customHeight="1">
      <x:c r="A12" s="88" t="str">
        <x:v>二级股权流动</x:v>
      </x:c>
      <x:c r="B12" s="77" t="str">
        <x:v>上市前股权转让的频度和可核验规模如何？</x:v>
      </x:c>
      <x:c r="C12" s="77" t="str">
        <x:v>CV024、CV025；CV026谨慎使用</x:v>
      </x:c>
      <x:c r="D12" s="77" t="str">
        <x:v>转让可能反映股权流动，但与发行人融资的资金流性质不同。</x:v>
      </x:c>
      <x:c r="E12" s="77" t="str">
        <x:v>分开报告；比率仅在双方金额均可用时计算。</x:v>
      </x:c>
      <x:c r="F12" s="77" t="str">
        <x:v>不相加、不解释为退出回报或融资效率。</x:v>
      </x:c>
    </x:row>
    <x:row r="13" ht="72" customHeight="1">
      <x:c r="A13" s="88" t="str">
        <x:v>数据质量与解释门槛</x:v>
      </x:c>
      <x:c r="B13" s="77" t="str">
        <x:v>每个实体变量由多少有效数据支撑？</x:v>
      </x:c>
      <x:c r="C13" s="77" t="str">
        <x:v>CV027—CV032</x:v>
      </x:c>
      <x:c r="D13" s="77" t="str">
        <x:v>让后续缺失检查和小样本比较显式考虑覆盖边界。</x:v>
      </x:c>
      <x:c r="E13" s="77" t="str">
        <x:v>质量变量用于报告、分层或敏感性分析，不替代实体变量。</x:v>
      </x:c>
      <x:c r="F13" s="77" t="str">
        <x:v>证据多或披露限制少不自动代表公司更好。</x:v>
      </x:c>
    </x:row>
  </x:sheetData>
  <x:mergeCells>
    <x:mergeCell ref="A1:F1"/>
    <x:mergeCell ref="A2:F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28" hidden="0" customWidth="1"/>
    <x:col min="4" max="4" width="22" hidden="0" customWidth="1"/>
    <x:col min="5" max="5" width="12" hidden="0" customWidth="1"/>
    <x:col min="6" max="6" width="14" hidden="0" customWidth="1"/>
    <x:col min="7" max="7" width="26" hidden="0" customWidth="1"/>
    <x:col min="8" max="8" width="16" hidden="0" customWidth="1"/>
    <x:col min="9" max="9" width="18" hidden="0" customWidth="1"/>
    <x:col min="10" max="10" width="62" hidden="0" customWidth="1"/>
    <x:col min="11" max="11" width="62" hidden="0" customWidth="1"/>
    <x:col min="12" max="12" width="22" hidden="0" customWidth="1"/>
    <x:col min="13" max="13" width="34" hidden="0" customWidth="1"/>
    <x:col min="14" max="14" width="12" hidden="0" customWidth="1"/>
    <x:col min="15" max="15" width="12" hidden="0" customWidth="1"/>
  </x:cols>
  <x:sheetData>
    <x:row r="1" ht="32" customHeight="1">
      <x:c r="A1" s="3" t="str">
        <x:v>候选研究变量字典</x:v>
      </x:c>
      <x:c r="B1" s="3"/>
      <x:c r="C1" s="3"/>
      <x:c r="D1" s="3"/>
      <x:c r="E1" s="3"/>
      <x:c r="F1" s="3"/>
      <x:c r="G1" s="3"/>
      <x:c r="H1" s="3"/>
      <x:c r="I1" s="3"/>
      <x:c r="J1" s="3"/>
      <x:c r="K1" s="3"/>
      <x:c r="L1" s="3"/>
      <x:c r="M1" s="3"/>
      <x:c r="N1" s="3"/>
      <x:c r="O1" s="3"/>
    </x:row>
    <x:row r="2" ht="34" customHeight="1">
      <x:c r="A2" s="7" t="str">
        <x:v>每行一个公司层候选变量；A核心优先计算，B扩展视覆盖与增量决定，Q质量用于解释门槛。</x:v>
      </x:c>
      <x:c r="B2" s="7"/>
      <x:c r="C2" s="7"/>
      <x:c r="D2" s="7"/>
      <x:c r="E2" s="7"/>
      <x:c r="F2" s="7"/>
      <x:c r="G2" s="7"/>
      <x:c r="H2" s="7"/>
      <x:c r="I2" s="7"/>
      <x:c r="J2" s="7"/>
      <x:c r="K2" s="7"/>
      <x:c r="L2" s="7"/>
      <x:c r="M2" s="7"/>
      <x:c r="N2" s="7"/>
      <x:c r="O2" s="7"/>
    </x:row>
    <x:row r="3">
      <x:c r="A3" s="11"/>
      <x:c r="B3" s="11"/>
      <x:c r="C3" s="11"/>
      <x:c r="D3" s="11"/>
      <x:c r="E3" s="11"/>
      <x:c r="F3" s="11"/>
      <x:c r="G3" s="11"/>
      <x:c r="H3" s="11"/>
      <x:c r="I3" s="11"/>
      <x:c r="J3" s="11"/>
      <x:c r="K3" s="11"/>
      <x:c r="L3" s="11"/>
      <x:c r="M3" s="11"/>
      <x:c r="N3" s="11"/>
      <x:c r="O3" s="11"/>
    </x:row>
    <x:row r="4" ht="34" customHeight="1">
      <x:c r="A4" s="68" t="str">
        <x:v>变量ID</x:v>
      </x:c>
      <x:c r="B4" s="69" t="str">
        <x:v>英文变量名</x:v>
      </x:c>
      <x:c r="C4" s="69" t="str">
        <x:v>中文名称</x:v>
      </x:c>
      <x:c r="D4" s="69" t="str">
        <x:v>研究构念</x:v>
      </x:c>
      <x:c r="E4" s="69" t="str">
        <x:v>优先级</x:v>
      </x:c>
      <x:c r="F4" s="69" t="str">
        <x:v>观察层级</x:v>
      </x:c>
      <x:c r="G4" s="69" t="str">
        <x:v>潜在研究角色</x:v>
      </x:c>
      <x:c r="H4" s="69" t="str">
        <x:v>变量类型</x:v>
      </x:c>
      <x:c r="I4" s="69" t="str">
        <x:v>单位</x:v>
      </x:c>
      <x:c r="J4" s="69" t="str">
        <x:v>定义</x:v>
      </x:c>
      <x:c r="K4" s="69" t="str">
        <x:v>为什么定义</x:v>
      </x:c>
      <x:c r="L4" s="69" t="str">
        <x:v>数据层</x:v>
      </x:c>
      <x:c r="M4" s="69" t="str">
        <x:v>开发状态</x:v>
      </x:c>
      <x:c r="N4" s="69" t="str">
        <x:v>ID出现次数</x:v>
      </x:c>
      <x:c r="O4" s="70" t="str">
        <x:v>名称出现次数</x:v>
      </x:c>
    </x:row>
    <x:row r="5" ht="72" customHeight="1">
      <x:c r="A5" s="89" t="str">
        <x:v>CV001</x:v>
      </x:c>
      <x:c r="B5" s="89" t="str">
        <x:v>has_preipo_direct_equity_financing</x:v>
      </x:c>
      <x:c r="C5" s="76" t="str">
        <x:v>上市前直接股权融资发生标记</x:v>
      </x:c>
      <x:c r="D5" s="76" t="str">
        <x:v>融资经历</x:v>
      </x:c>
      <x:c r="E5" s="76" t="str">
        <x:v>A核心</x:v>
      </x:c>
      <x:c r="F5" s="76" t="str">
        <x:v>公司层</x:v>
      </x:c>
      <x:c r="G5" s="76" t="str">
        <x:v>分组/解释变量</x:v>
      </x:c>
      <x:c r="H5" s="76" t="str">
        <x:v>BINARY</x:v>
      </x:c>
      <x:c r="I5" s="76" t="str">
        <x:v>0/1</x:v>
      </x:c>
      <x:c r="J5" s="76" t="str">
        <x:v>公司是否至少存在1轮按统一口径计入的上市前直接股权融资。</x:v>
      </x:c>
      <x:c r="K5" s="76" t="str">
        <x:v>把“是否融资”与“融资多少”分开，避免零轮公司在金额变量中被误作普通低值。</x:v>
      </x:c>
      <x:c r="L5" s="76" t="str">
        <x:v>研究判断派生</x:v>
      </x:c>
      <x:c r="M5" s="76" t="str">
        <x:v>CANDIDATE_DEFINED_NOT_COMPUTED</x:v>
      </x:c>
      <x:c r="N5" s="91" t="n">
        <x:f>COUNTIF($A$5:$A$36,A5)</x:f>
        <x:v>1</x:v>
      </x:c>
      <x:c r="O5" s="91" t="n">
        <x:f>COUNTIF($B$5:$B$36,B5)</x:f>
        <x:v>1</x:v>
      </x:c>
    </x:row>
    <x:row r="6" ht="72" customHeight="1">
      <x:c r="A6" s="90" t="str">
        <x:v>CV002</x:v>
      </x:c>
      <x:c r="B6" s="90" t="str">
        <x:v>financing_round_count</x:v>
      </x:c>
      <x:c r="C6" s="77" t="str">
        <x:v>上市前直接股权融资轮数</x:v>
      </x:c>
      <x:c r="D6" s="77" t="str">
        <x:v>融资频度</x:v>
      </x:c>
      <x:c r="E6" s="77" t="str">
        <x:v>A核心</x:v>
      </x:c>
      <x:c r="F6" s="77" t="str">
        <x:v>公司层</x:v>
      </x:c>
      <x:c r="G6" s="77" t="str">
        <x:v>解释/案例选择变量</x:v>
      </x:c>
      <x:c r="H6" s="77" t="str">
        <x:v>INTEGER</x:v>
      </x:c>
      <x:c r="I6" s="77" t="str">
        <x:v>轮</x:v>
      </x:c>
      <x:c r="J6" s="77" t="str">
        <x:v>financing_round_flag=TRUE的公司内事件数。</x:v>
      </x:c>
      <x:c r="K6" s="77" t="str">
        <x:v>刻画企业上市前通过直接股权融资反复进入资本市场的频度。</x:v>
      </x:c>
      <x:c r="L6" s="77" t="str">
        <x:v>研究判断</x:v>
      </x:c>
      <x:c r="M6" s="77" t="str">
        <x:v>CANDIDATE_DEFINED_NOT_COMPUTED</x:v>
      </x:c>
      <x:c r="N6" s="92" t="n">
        <x:f>COUNTIF($A$5:$A$36,A6)</x:f>
        <x:v>1</x:v>
      </x:c>
      <x:c r="O6" s="92" t="n">
        <x:f>COUNTIF($B$5:$B$36,B6)</x:f>
        <x:v>1</x:v>
      </x:c>
    </x:row>
    <x:row r="7" ht="72" customHeight="1">
      <x:c r="A7" s="90" t="str">
        <x:v>CV003</x:v>
      </x:c>
      <x:c r="B7" s="90" t="str">
        <x:v>financing_amount_lower_bound_10k_cny</x:v>
      </x:c>
      <x:c r="C7" s="77" t="str">
        <x:v>可核验融资金额下限</x:v>
      </x:c>
      <x:c r="D7" s="77" t="str">
        <x:v>融资规模</x:v>
      </x:c>
      <x:c r="E7" s="77" t="str">
        <x:v>A核心</x:v>
      </x:c>
      <x:c r="F7" s="77" t="str">
        <x:v>公司层</x:v>
      </x:c>
      <x:c r="G7" s="77" t="str">
        <x:v>解释/案例选择变量</x:v>
      </x:c>
      <x:c r="H7" s="77" t="str">
        <x:v>CONTINUOUS</x:v>
      </x:c>
      <x:c r="I7" s="77" t="str">
        <x:v>万元人民币</x:v>
      </x:c>
      <x:c r="J7" s="77" t="str">
        <x:v>目前可由披露值或明确计算值支持的发行人上市前直接股权融资金额下限。</x:v>
      </x:c>
      <x:c r="K7" s="77" t="str">
        <x:v>在轮次数之外衡量可核验的融资规模，并保留披露不完整时的下限含义。</x:v>
      </x:c>
      <x:c r="L7" s="77" t="str">
        <x:v>标准化值+计算值</x:v>
      </x:c>
      <x:c r="M7" s="77" t="str">
        <x:v>CANDIDATE_DEFINED_NOT_COMPUTED</x:v>
      </x:c>
      <x:c r="N7" s="92" t="n">
        <x:f>COUNTIF($A$5:$A$36,A7)</x:f>
        <x:v>1</x:v>
      </x:c>
      <x:c r="O7" s="92" t="n">
        <x:f>COUNTIF($B$5:$B$36,B7)</x:f>
        <x:v>1</x:v>
      </x:c>
    </x:row>
    <x:row r="8" ht="72" customHeight="1">
      <x:c r="A8" s="90" t="str">
        <x:v>CV004</x:v>
      </x:c>
      <x:c r="B8" s="90" t="str">
        <x:v>log1p_financing_amount_lower_bound</x:v>
      </x:c>
      <x:c r="C8" s="77" t="str">
        <x:v>融资金额下限对数</x:v>
      </x:c>
      <x:c r="D8" s="77" t="str">
        <x:v>融资规模</x:v>
      </x:c>
      <x:c r="E8" s="77" t="str">
        <x:v>B扩展</x:v>
      </x:c>
      <x:c r="F8" s="77" t="str">
        <x:v>公司层</x:v>
      </x:c>
      <x:c r="G8" s="77" t="str">
        <x:v>稳健性/替代解释变量</x:v>
      </x:c>
      <x:c r="H8" s="77" t="str">
        <x:v>CONTINUOUS</x:v>
      </x:c>
      <x:c r="I8" s="77" t="str">
        <x:v>ln(1+万元)</x:v>
      </x:c>
      <x:c r="J8" s="77" t="str">
        <x:v>对可核验融资金额下限进行ln(1+x)变换。</x:v>
      </x:c>
      <x:c r="K8" s="77" t="str">
        <x:v>融资金额通常右偏；对数形式便于比较比例差异，但不改变数据缺失边界。</x:v>
      </x:c>
      <x:c r="L8" s="77" t="str">
        <x:v>计算值</x:v>
      </x:c>
      <x:c r="M8" s="77" t="str">
        <x:v>CANDIDATE_DEFINED_NOT_COMPUTED</x:v>
      </x:c>
      <x:c r="N8" s="92" t="n">
        <x:f>COUNTIF($A$5:$A$36,A8)</x:f>
        <x:v>1</x:v>
      </x:c>
      <x:c r="O8" s="92" t="n">
        <x:f>COUNTIF($B$5:$B$36,B8)</x:f>
        <x:v>1</x:v>
      </x:c>
    </x:row>
    <x:row r="9" ht="72" customHeight="1">
      <x:c r="A9" s="90" t="str">
        <x:v>CV005</x:v>
      </x:c>
      <x:c r="B9" s="90" t="str">
        <x:v>mean_known_round_amount_10k_cny</x:v>
      </x:c>
      <x:c r="C9" s="77" t="str">
        <x:v>已知金额轮次均值</x:v>
      </x:c>
      <x:c r="D9" s="77" t="str">
        <x:v>单轮融资规模</x:v>
      </x:c>
      <x:c r="E9" s="77" t="str">
        <x:v>A核心</x:v>
      </x:c>
      <x:c r="F9" s="77" t="str">
        <x:v>公司层</x:v>
      </x:c>
      <x:c r="G9" s="77" t="str">
        <x:v>解释/案例选择变量</x:v>
      </x:c>
      <x:c r="H9" s="77" t="str">
        <x:v>CONTINUOUS</x:v>
      </x:c>
      <x:c r="I9" s="77" t="str">
        <x:v>万元人民币/已知轮</x:v>
      </x:c>
      <x:c r="J9" s="77" t="str">
        <x:v>公司内金额非null的融资轮事件锚点金额算术平均数。</x:v>
      </x:c>
      <x:c r="K9" s="77" t="str">
        <x:v>区分总融资规模与典型单轮规模，避免轮次多的企业仅因次数获得更高总额。</x:v>
      </x:c>
      <x:c r="L9" s="77" t="str">
        <x:v>计算值</x:v>
      </x:c>
      <x:c r="M9" s="77" t="str">
        <x:v>CANDIDATE_DEFINED_NOT_COMPUTED</x:v>
      </x:c>
      <x:c r="N9" s="92" t="n">
        <x:f>COUNTIF($A$5:$A$36,A9)</x:f>
        <x:v>1</x:v>
      </x:c>
      <x:c r="O9" s="92" t="n">
        <x:f>COUNTIF($B$5:$B$36,B9)</x:f>
        <x:v>1</x:v>
      </x:c>
    </x:row>
    <x:row r="10" ht="72" customHeight="1">
      <x:c r="A10" s="90" t="str">
        <x:v>CV006</x:v>
      </x:c>
      <x:c r="B10" s="90" t="str">
        <x:v>median_known_round_amount_10k_cny</x:v>
      </x:c>
      <x:c r="C10" s="77" t="str">
        <x:v>已知金额轮次中位数</x:v>
      </x:c>
      <x:c r="D10" s="77" t="str">
        <x:v>单轮融资规模</x:v>
      </x:c>
      <x:c r="E10" s="77" t="str">
        <x:v>B扩展</x:v>
      </x:c>
      <x:c r="F10" s="77" t="str">
        <x:v>公司层</x:v>
      </x:c>
      <x:c r="G10" s="77" t="str">
        <x:v>稳健性/案例选择变量</x:v>
      </x:c>
      <x:c r="H10" s="77" t="str">
        <x:v>CONTINUOUS</x:v>
      </x:c>
      <x:c r="I10" s="77" t="str">
        <x:v>万元人民币/已知轮</x:v>
      </x:c>
      <x:c r="J10" s="77" t="str">
        <x:v>公司内金额非null的融资轮事件锚点金额中位数。</x:v>
      </x:c>
      <x:c r="K10" s="77" t="str">
        <x:v>降低极端大额轮次对典型融资规模描述的影响。</x:v>
      </x:c>
      <x:c r="L10" s="77" t="str">
        <x:v>计算值</x:v>
      </x:c>
      <x:c r="M10" s="77" t="str">
        <x:v>CANDIDATE_DEFINED_NOT_COMPUTED</x:v>
      </x:c>
      <x:c r="N10" s="92" t="n">
        <x:f>COUNTIF($A$5:$A$36,A10)</x:f>
        <x:v>1</x:v>
      </x:c>
      <x:c r="O10" s="92" t="n">
        <x:f>COUNTIF($B$5:$B$36,B10)</x:f>
        <x:v>1</x:v>
      </x:c>
    </x:row>
    <x:row r="11" ht="72" customHeight="1">
      <x:c r="A11" s="90" t="str">
        <x:v>CV007</x:v>
      </x:c>
      <x:c r="B11" s="90" t="str">
        <x:v>largest_known_round_amount_10k_cny</x:v>
      </x:c>
      <x:c r="C11" s="77" t="str">
        <x:v>最大已知单轮融资金额</x:v>
      </x:c>
      <x:c r="D11" s="77" t="str">
        <x:v>融资峰值</x:v>
      </x:c>
      <x:c r="E11" s="77" t="str">
        <x:v>B扩展</x:v>
      </x:c>
      <x:c r="F11" s="77" t="str">
        <x:v>公司层</x:v>
      </x:c>
      <x:c r="G11" s="77" t="str">
        <x:v>案例选择变量</x:v>
      </x:c>
      <x:c r="H11" s="77" t="str">
        <x:v>CONTINUOUS</x:v>
      </x:c>
      <x:c r="I11" s="77" t="str">
        <x:v>万元人民币</x:v>
      </x:c>
      <x:c r="J11" s="77" t="str">
        <x:v>公司内金额非null融资轮事件锚点金额的最大值。</x:v>
      </x:c>
      <x:c r="K11" s="77" t="str">
        <x:v>识别是否存在显著的大额关键融资轮，服务于代表性案例筛选。</x:v>
      </x:c>
      <x:c r="L11" s="77" t="str">
        <x:v>计算值</x:v>
      </x:c>
      <x:c r="M11" s="77" t="str">
        <x:v>CANDIDATE_DEFINED_NOT_COMPUTED</x:v>
      </x:c>
      <x:c r="N11" s="92" t="n">
        <x:f>COUNTIF($A$5:$A$36,A11)</x:f>
        <x:v>1</x:v>
      </x:c>
      <x:c r="O11" s="92" t="n">
        <x:f>COUNTIF($B$5:$B$36,B11)</x:f>
        <x:v>1</x:v>
      </x:c>
    </x:row>
    <x:row r="12" ht="72" customHeight="1">
      <x:c r="A12" s="90" t="str">
        <x:v>CV008</x:v>
      </x:c>
      <x:c r="B12" s="90" t="str">
        <x:v>largest_known_round_share</x:v>
      </x:c>
      <x:c r="C12" s="77" t="str">
        <x:v>最大已知轮金额占比</x:v>
      </x:c>
      <x:c r="D12" s="77" t="str">
        <x:v>融资集中度</x:v>
      </x:c>
      <x:c r="E12" s="77" t="str">
        <x:v>B扩展</x:v>
      </x:c>
      <x:c r="F12" s="77" t="str">
        <x:v>公司层</x:v>
      </x:c>
      <x:c r="G12" s="77" t="str">
        <x:v>机制/案例选择变量</x:v>
      </x:c>
      <x:c r="H12" s="77" t="str">
        <x:v>RATIO</x:v>
      </x:c>
      <x:c r="I12" s="77" t="str">
        <x:v>0–1</x:v>
      </x:c>
      <x:c r="J12" s="77" t="str">
        <x:v>最大已知轮金额占公司已知融资轮事件锚点金额合计的比例。</x:v>
      </x:c>
      <x:c r="K12" s="77" t="str">
        <x:v>区分融资高度集中于一轮与较均匀分布于多轮的路径。</x:v>
      </x:c>
      <x:c r="L12" s="77" t="str">
        <x:v>计算值</x:v>
      </x:c>
      <x:c r="M12" s="77" t="str">
        <x:v>CANDIDATE_DEFINED_NOT_COMPUTED</x:v>
      </x:c>
      <x:c r="N12" s="92" t="n">
        <x:f>COUNTIF($A$5:$A$36,A12)</x:f>
        <x:v>1</x:v>
      </x:c>
      <x:c r="O12" s="92" t="n">
        <x:f>COUNTIF($B$5:$B$36,B12)</x:f>
        <x:v>1</x:v>
      </x:c>
    </x:row>
    <x:row r="13" ht="72" customHeight="1">
      <x:c r="A13" s="90" t="str">
        <x:v>CV009</x:v>
      </x:c>
      <x:c r="B13" s="90" t="str">
        <x:v>financing_span_months</x:v>
      </x:c>
      <x:c r="C13" s="77" t="str">
        <x:v>融资时间跨度</x:v>
      </x:c>
      <x:c r="D13" s="77" t="str">
        <x:v>融资节奏</x:v>
      </x:c>
      <x:c r="E13" s="77" t="str">
        <x:v>A核心</x:v>
      </x:c>
      <x:c r="F13" s="77" t="str">
        <x:v>公司层</x:v>
      </x:c>
      <x:c r="G13" s="77" t="str">
        <x:v>解释/案例选择变量</x:v>
      </x:c>
      <x:c r="H13" s="77" t="str">
        <x:v>CONTINUOUS</x:v>
      </x:c>
      <x:c r="I13" s="77" t="str">
        <x:v>月</x:v>
      </x:c>
      <x:c r="J13" s="77" t="str">
        <x:v>公司最早与最晚可用融资轮标准化年月之间的月份差。</x:v>
      </x:c>
      <x:c r="K13" s="77" t="str">
        <x:v>刻画融资活动是集中发生还是跨越较长时期。</x:v>
      </x:c>
      <x:c r="L13" s="77" t="str">
        <x:v>计算值</x:v>
      </x:c>
      <x:c r="M13" s="77" t="str">
        <x:v>CANDIDATE_DEFINED_NOT_COMPUTED</x:v>
      </x:c>
      <x:c r="N13" s="92" t="n">
        <x:f>COUNTIF($A$5:$A$36,A13)</x:f>
        <x:v>1</x:v>
      </x:c>
      <x:c r="O13" s="92" t="n">
        <x:f>COUNTIF($B$5:$B$36,B13)</x:f>
        <x:v>1</x:v>
      </x:c>
    </x:row>
    <x:row r="14" ht="72" customHeight="1">
      <x:c r="A14" s="90" t="str">
        <x:v>CV010</x:v>
      </x:c>
      <x:c r="B14" s="90" t="str">
        <x:v>median_financing_interval_months</x:v>
      </x:c>
      <x:c r="C14" s="77" t="str">
        <x:v>融资轮次间隔中位数</x:v>
      </x:c>
      <x:c r="D14" s="77" t="str">
        <x:v>融资节奏</x:v>
      </x:c>
      <x:c r="E14" s="77" t="str">
        <x:v>B扩展</x:v>
      </x:c>
      <x:c r="F14" s="77" t="str">
        <x:v>公司层</x:v>
      </x:c>
      <x:c r="G14" s="77" t="str">
        <x:v>机制/案例选择变量</x:v>
      </x:c>
      <x:c r="H14" s="77" t="str">
        <x:v>CONTINUOUS</x:v>
      </x:c>
      <x:c r="I14" s="77" t="str">
        <x:v>月</x:v>
      </x:c>
      <x:c r="J14" s="77" t="str">
        <x:v>按可用融资轮日期排序后，相邻月份差的中位数。</x:v>
      </x:c>
      <x:c r="K14" s="77" t="str">
        <x:v>描述典型融资节奏，并降低单次极长间隔的影响。</x:v>
      </x:c>
      <x:c r="L14" s="77" t="str">
        <x:v>计算值</x:v>
      </x:c>
      <x:c r="M14" s="77" t="str">
        <x:v>CANDIDATE_DEFINED_NOT_COMPUTED</x:v>
      </x:c>
      <x:c r="N14" s="92" t="n">
        <x:f>COUNTIF($A$5:$A$36,A14)</x:f>
        <x:v>1</x:v>
      </x:c>
      <x:c r="O14" s="92" t="n">
        <x:f>COUNTIF($B$5:$B$36,B14)</x:f>
        <x:v>1</x:v>
      </x:c>
    </x:row>
    <x:row r="15" ht="72" customHeight="1">
      <x:c r="A15" s="90" t="str">
        <x:v>CV011</x:v>
      </x:c>
      <x:c r="B15" s="90" t="str">
        <x:v>confirmed_pevc_participation_flag</x:v>
      </x:c>
      <x:c r="C15" s="77" t="str">
        <x:v>确认PE/VC参与标记</x:v>
      </x:c>
      <x:c r="D15" s="77" t="str">
        <x:v>PEVC参与</x:v>
      </x:c>
      <x:c r="E15" s="77" t="str">
        <x:v>A核心</x:v>
      </x:c>
      <x:c r="F15" s="77" t="str">
        <x:v>公司层</x:v>
      </x:c>
      <x:c r="G15" s="77" t="str">
        <x:v>分组/解释变量</x:v>
      </x:c>
      <x:c r="H15" s="77" t="str">
        <x:v>BINARY</x:v>
      </x:c>
      <x:c r="I15" s="77" t="str">
        <x:v>0/1</x:v>
      </x:c>
      <x:c r="J15" s="77" t="str">
        <x:v>公司是否至少有1个最终状态为PEVC_CONFIRMED且与公司投资关系可核验的法律主体。</x:v>
      </x:c>
      <x:c r="K15" s="77" t="str">
        <x:v>提供最易解释的PE/VC参与广度指标，适合8家公司初步分组。</x:v>
      </x:c>
      <x:c r="L15" s="77" t="str">
        <x:v>研究判断派生</x:v>
      </x:c>
      <x:c r="M15" s="77" t="str">
        <x:v>CANDIDATE_DEFINED_NOT_COMPUTED</x:v>
      </x:c>
      <x:c r="N15" s="92" t="n">
        <x:f>COUNTIF($A$5:$A$36,A15)</x:f>
        <x:v>1</x:v>
      </x:c>
      <x:c r="O15" s="92" t="n">
        <x:f>COUNTIF($B$5:$B$36,B15)</x:f>
        <x:v>1</x:v>
      </x:c>
    </x:row>
    <x:row r="16" ht="72" customHeight="1">
      <x:c r="A16" s="90" t="str">
        <x:v>CV012</x:v>
      </x:c>
      <x:c r="B16" s="90" t="str">
        <x:v>confirmed_pevc_legal_entity_count</x:v>
      </x:c>
      <x:c r="C16" s="77" t="str">
        <x:v>确认PE/VC法律主体数</x:v>
      </x:c>
      <x:c r="D16" s="77" t="str">
        <x:v>PEVC参与</x:v>
      </x:c>
      <x:c r="E16" s="77" t="str">
        <x:v>A核心</x:v>
      </x:c>
      <x:c r="F16" s="77" t="str">
        <x:v>公司层</x:v>
      </x:c>
      <x:c r="G16" s="77" t="str">
        <x:v>解释/案例选择变量</x:v>
      </x:c>
      <x:c r="H16" s="77" t="str">
        <x:v>INTEGER</x:v>
      </x:c>
      <x:c r="I16" s="77" t="str">
        <x:v>个</x:v>
      </x:c>
      <x:c r="J16" s="77" t="str">
        <x:v>公司内最终状态为PEVC_CONFIRMED的参与法律主体去重数。</x:v>
      </x:c>
      <x:c r="K16" s="77" t="str">
        <x:v>在是否参与之外衡量PE/VC主体参与的数量强度。</x:v>
      </x:c>
      <x:c r="L16" s="77" t="str">
        <x:v>计算值+研究判断</x:v>
      </x:c>
      <x:c r="M16" s="77" t="str">
        <x:v>CANDIDATE_DEFINED_NOT_COMPUTED</x:v>
      </x:c>
      <x:c r="N16" s="92" t="n">
        <x:f>COUNTIF($A$5:$A$36,A16)</x:f>
        <x:v>1</x:v>
      </x:c>
      <x:c r="O16" s="92" t="n">
        <x:f>COUNTIF($B$5:$B$36,B16)</x:f>
        <x:v>1</x:v>
      </x:c>
    </x:row>
    <x:row r="17" ht="72" customHeight="1">
      <x:c r="A17" s="90" t="str">
        <x:v>CV013</x:v>
      </x:c>
      <x:c r="B17" s="90" t="str">
        <x:v>confirmed_pevc_share_of_direct_entities</x:v>
      </x:c>
      <x:c r="C17" s="77" t="str">
        <x:v>确认PE/VC占直接主体比重</x:v>
      </x:c>
      <x:c r="D17" s="77" t="str">
        <x:v>PEVC参与</x:v>
      </x:c>
      <x:c r="E17" s="77" t="str">
        <x:v>B扩展</x:v>
      </x:c>
      <x:c r="F17" s="77" t="str">
        <x:v>公司层</x:v>
      </x:c>
      <x:c r="G17" s="77" t="str">
        <x:v>相对解释变量</x:v>
      </x:c>
      <x:c r="H17" s="77" t="str">
        <x:v>RATIO</x:v>
      </x:c>
      <x:c r="I17" s="77" t="str">
        <x:v>0–1</x:v>
      </x:c>
      <x:c r="J17" s="77" t="str">
        <x:v>确认PE/VC法律主体数占直接参与法律主体去重数的比例。</x:v>
      </x:c>
      <x:c r="K17" s="77" t="str">
        <x:v>控制公司参与主体总规模，使PE/VC数量在不同主体密度公司间更可比。</x:v>
      </x:c>
      <x:c r="L17" s="77" t="str">
        <x:v>计算值+研究判断</x:v>
      </x:c>
      <x:c r="M17" s="77" t="str">
        <x:v>CANDIDATE_DEFINED_NOT_COMPUTED</x:v>
      </x:c>
      <x:c r="N17" s="92" t="n">
        <x:f>COUNTIF($A$5:$A$36,A17)</x:f>
        <x:v>1</x:v>
      </x:c>
      <x:c r="O17" s="92" t="n">
        <x:f>COUNTIF($B$5:$B$36,B17)</x:f>
        <x:v>1</x:v>
      </x:c>
    </x:row>
    <x:row r="18" ht="72" customHeight="1">
      <x:c r="A18" s="90" t="str">
        <x:v>CV014</x:v>
      </x:c>
      <x:c r="B18" s="90" t="str">
        <x:v>confirmed_pevc_financing_round_count</x:v>
      </x:c>
      <x:c r="C18" s="77" t="str">
        <x:v>确认PE/VC参与融资轮数</x:v>
      </x:c>
      <x:c r="D18" s="77" t="str">
        <x:v>PEVC参与深度</x:v>
      </x:c>
      <x:c r="E18" s="77" t="str">
        <x:v>B扩展</x:v>
      </x:c>
      <x:c r="F18" s="77" t="str">
        <x:v>公司层</x:v>
      </x:c>
      <x:c r="G18" s="77" t="str">
        <x:v>机制/解释变量</x:v>
      </x:c>
      <x:c r="H18" s="77" t="str">
        <x:v>INTEGER</x:v>
      </x:c>
      <x:c r="I18" s="77" t="str">
        <x:v>轮</x:v>
      </x:c>
      <x:c r="J18" s="77" t="str">
        <x:v>至少关联1个PEVC_CONFIRMED主体的融资轮事件去重数。</x:v>
      </x:c>
      <x:c r="K18" s="77" t="str">
        <x:v>区分PE/VC偶发进入与跨多轮持续参与。</x:v>
      </x:c>
      <x:c r="L18" s="77" t="str">
        <x:v>研究判断派生</x:v>
      </x:c>
      <x:c r="M18" s="77" t="str">
        <x:v>CANDIDATE_DEFINED_NOT_COMPUTED</x:v>
      </x:c>
      <x:c r="N18" s="92" t="n">
        <x:f>COUNTIF($A$5:$A$36,A18)</x:f>
        <x:v>1</x:v>
      </x:c>
      <x:c r="O18" s="92" t="n">
        <x:f>COUNTIF($B$5:$B$36,B18)</x:f>
        <x:v>1</x:v>
      </x:c>
    </x:row>
    <x:row r="19" ht="72" customHeight="1">
      <x:c r="A19" s="90" t="str">
        <x:v>CV015</x:v>
      </x:c>
      <x:c r="B19" s="90" t="str">
        <x:v>first_confirmed_pevc_entry_date</x:v>
      </x:c>
      <x:c r="C19" s="77" t="str">
        <x:v>首次确认PE/VC进入日期</x:v>
      </x:c>
      <x:c r="D19" s="77" t="str">
        <x:v>PEVC进入时点</x:v>
      </x:c>
      <x:c r="E19" s="77" t="str">
        <x:v>A核心</x:v>
      </x:c>
      <x:c r="F19" s="77" t="str">
        <x:v>公司层</x:v>
      </x:c>
      <x:c r="G19" s="77" t="str">
        <x:v>历史标记/案例选择变量</x:v>
      </x:c>
      <x:c r="H19" s="77" t="str">
        <x:v>DATE_OR_MONTH</x:v>
      </x:c>
      <x:c r="I19" s="77" t="str">
        <x:v>日期或年月</x:v>
      </x:c>
      <x:c r="J19" s="77" t="str">
        <x:v>公司投资路径中PEVC_CONFIRMED主体最早的可核验进入日期。</x:v>
      </x:c>
      <x:c r="K19" s="77" t="str">
        <x:v>直接回答PE/VC何时首次进入，为后续路径叙事和时点变量提供锚点。</x:v>
      </x:c>
      <x:c r="L19" s="77" t="str">
        <x:v>研究判断派生</x:v>
      </x:c>
      <x:c r="M19" s="77" t="str">
        <x:v>CANDIDATE_DEFINED_NOT_COMPUTED</x:v>
      </x:c>
      <x:c r="N19" s="92" t="n">
        <x:f>COUNTIF($A$5:$A$36,A19)</x:f>
        <x:v>1</x:v>
      </x:c>
      <x:c r="O19" s="92" t="n">
        <x:f>COUNTIF($B$5:$B$36,B19)</x:f>
        <x:v>1</x:v>
      </x:c>
    </x:row>
    <x:row r="20" ht="72" customHeight="1">
      <x:c r="A20" s="90" t="str">
        <x:v>CV016</x:v>
      </x:c>
      <x:c r="B20" s="90" t="str">
        <x:v>first_confirmed_pevc_entry_year</x:v>
      </x:c>
      <x:c r="C20" s="77" t="str">
        <x:v>首次确认PE/VC进入年份</x:v>
      </x:c>
      <x:c r="D20" s="77" t="str">
        <x:v>PEVC进入时点</x:v>
      </x:c>
      <x:c r="E20" s="77" t="str">
        <x:v>B扩展</x:v>
      </x:c>
      <x:c r="F20" s="77" t="str">
        <x:v>公司层</x:v>
      </x:c>
      <x:c r="G20" s="77" t="str">
        <x:v>时期控制/案例选择变量</x:v>
      </x:c>
      <x:c r="H20" s="77" t="str">
        <x:v>INTEGER</x:v>
      </x:c>
      <x:c r="I20" s="77" t="str">
        <x:v>年</x:v>
      </x:c>
      <x:c r="J20" s="77" t="str">
        <x:v>从首次确认PE/VC进入日期提取年份。</x:v>
      </x:c>
      <x:c r="K20" s="77" t="str">
        <x:v>在不虚构月份或日期的情况下比较不同企业进入所处资本市场时期。</x:v>
      </x:c>
      <x:c r="L20" s="77" t="str">
        <x:v>计算值+研究判断</x:v>
      </x:c>
      <x:c r="M20" s="77" t="str">
        <x:v>CANDIDATE_DEFINED_NOT_COMPUTED</x:v>
      </x:c>
      <x:c r="N20" s="92" t="n">
        <x:f>COUNTIF($A$5:$A$36,A20)</x:f>
        <x:v>1</x:v>
      </x:c>
      <x:c r="O20" s="92" t="n">
        <x:f>COUNTIF($B$5:$B$36,B20)</x:f>
        <x:v>1</x:v>
      </x:c>
    </x:row>
    <x:row r="21" ht="72" customHeight="1">
      <x:c r="A21" s="90" t="str">
        <x:v>CV017</x:v>
      </x:c>
      <x:c r="B21" s="90" t="str">
        <x:v>first_confirmed_pevc_financing_round_position</x:v>
      </x:c>
      <x:c r="C21" s="77" t="str">
        <x:v>首次确认PE/VC融资轮位置</x:v>
      </x:c>
      <x:c r="D21" s="77" t="str">
        <x:v>PEVC进入时点</x:v>
      </x:c>
      <x:c r="E21" s="77" t="str">
        <x:v>B扩展</x:v>
      </x:c>
      <x:c r="F21" s="77" t="str">
        <x:v>公司层</x:v>
      </x:c>
      <x:c r="G21" s="77" t="str">
        <x:v>相对时点变量</x:v>
      </x:c>
      <x:c r="H21" s="77" t="str">
        <x:v>RATIO</x:v>
      </x:c>
      <x:c r="I21" s="77" t="str">
        <x:v>0–1</x:v>
      </x:c>
      <x:c r="J21" s="77" t="str">
        <x:v>首次有确认PE/VC参与的融资轮序位除以公司融资轮总数。</x:v>
      </x:c>
      <x:c r="K21" s="77" t="str">
        <x:v>把首次进入位置标准化，使融资轮数不同的公司具有可比的相对时点。</x:v>
      </x:c>
      <x:c r="L21" s="77" t="str">
        <x:v>研究判断派生</x:v>
      </x:c>
      <x:c r="M21" s="77" t="str">
        <x:v>CANDIDATE_DEFINED_NOT_COMPUTED</x:v>
      </x:c>
      <x:c r="N21" s="92" t="n">
        <x:f>COUNTIF($A$5:$A$36,A21)</x:f>
        <x:v>1</x:v>
      </x:c>
      <x:c r="O21" s="92" t="n">
        <x:f>COUNTIF($B$5:$B$36,B21)</x:f>
        <x:v>1</x:v>
      </x:c>
    </x:row>
    <x:row r="22" ht="72" customHeight="1">
      <x:c r="A22" s="90" t="str">
        <x:v>CV018</x:v>
      </x:c>
      <x:c r="B22" s="90" t="str">
        <x:v>indirect_confirmed_pevc_path_flag</x:v>
      </x:c>
      <x:c r="C22" s="77" t="str">
        <x:v>确认PE/VC间接路径标记</x:v>
      </x:c>
      <x:c r="D22" s="77" t="str">
        <x:v>投资路径复杂度</x:v>
      </x:c>
      <x:c r="E22" s="77" t="str">
        <x:v>B扩展</x:v>
      </x:c>
      <x:c r="F22" s="77" t="str">
        <x:v>公司层</x:v>
      </x:c>
      <x:c r="G22" s="77" t="str">
        <x:v>机制/案例选择变量</x:v>
      </x:c>
      <x:c r="H22" s="77" t="str">
        <x:v>BINARY</x:v>
      </x:c>
      <x:c r="I22" s="77" t="str">
        <x:v>0/1</x:v>
      </x:c>
      <x:c r="J22" s="77" t="str">
        <x:v>是否存在与PEVC_CONFIRMED主体相关且direct_indirect=INDIRECT的确认投资路径。</x:v>
      </x:c>
      <x:c r="K22" s="77" t="str">
        <x:v>识别通过持股平台、基金层级或其他间接结构参与的案例。</x:v>
      </x:c>
      <x:c r="L22" s="77" t="str">
        <x:v>研究判断派生</x:v>
      </x:c>
      <x:c r="M22" s="77" t="str">
        <x:v>CANDIDATE_DEFINED_NOT_COMPUTED</x:v>
      </x:c>
      <x:c r="N22" s="92" t="n">
        <x:f>COUNTIF($A$5:$A$36,A22)</x:f>
        <x:v>1</x:v>
      </x:c>
      <x:c r="O22" s="92" t="n">
        <x:f>COUNTIF($B$5:$B$36,B22)</x:f>
        <x:v>1</x:v>
      </x:c>
    </x:row>
    <x:row r="23" ht="72" customHeight="1">
      <x:c r="A23" s="90" t="str">
        <x:v>CV019</x:v>
      </x:c>
      <x:c r="B23" s="90" t="str">
        <x:v>confirmed_pevc_entry_method_diversity</x:v>
      </x:c>
      <x:c r="C23" s="77" t="str">
        <x:v>确认PE/VC进入方式多样性</x:v>
      </x:c>
      <x:c r="D23" s="77" t="str">
        <x:v>PEVC进入方式</x:v>
      </x:c>
      <x:c r="E23" s="77" t="str">
        <x:v>B扩展</x:v>
      </x:c>
      <x:c r="F23" s="77" t="str">
        <x:v>公司层</x:v>
      </x:c>
      <x:c r="G23" s="77" t="str">
        <x:v>机制/案例选择变量</x:v>
      </x:c>
      <x:c r="H23" s="77" t="str">
        <x:v>INTEGER</x:v>
      </x:c>
      <x:c r="I23" s="77" t="str">
        <x:v>种</x:v>
      </x:c>
      <x:c r="J23" s="77" t="str">
        <x:v>确认PE/VC路径中非空进入方式的去重数，如增资进入、受让进入。</x:v>
      </x:c>
      <x:c r="K23" s="77" t="str">
        <x:v>区分单一进入机制与多种进入机制并存。</x:v>
      </x:c>
      <x:c r="L23" s="77" t="str">
        <x:v>研究判断派生</x:v>
      </x:c>
      <x:c r="M23" s="77" t="str">
        <x:v>CANDIDATE_DEFINED_NOT_COMPUTED</x:v>
      </x:c>
      <x:c r="N23" s="92" t="n">
        <x:f>COUNTIF($A$5:$A$36,A23)</x:f>
        <x:v>1</x:v>
      </x:c>
      <x:c r="O23" s="92" t="n">
        <x:f>COUNTIF($B$5:$B$36,B23)</x:f>
        <x:v>1</x:v>
      </x:c>
    </x:row>
    <x:row r="24" ht="72" customHeight="1">
      <x:c r="A24" s="90" t="str">
        <x:v>CV020</x:v>
      </x:c>
      <x:c r="B24" s="90" t="str">
        <x:v>unique_direct_legal_entity_count</x:v>
      </x:c>
      <x:c r="C24" s="77" t="str">
        <x:v>直接参与法律主体数</x:v>
      </x:c>
      <x:c r="D24" s="77" t="str">
        <x:v>参与结构规模</x:v>
      </x:c>
      <x:c r="E24" s="77" t="str">
        <x:v>A核心</x:v>
      </x:c>
      <x:c r="F24" s="77" t="str">
        <x:v>公司层</x:v>
      </x:c>
      <x:c r="G24" s="77" t="str">
        <x:v>解释/案例选择变量</x:v>
      </x:c>
      <x:c r="H24" s="77" t="str">
        <x:v>INTEGER</x:v>
      </x:c>
      <x:c r="I24" s="77" t="str">
        <x:v>个</x:v>
      </x:c>
      <x:c r="J24" s="77" t="str">
        <x:v>公司级直接参与法律主体按稳定主体键去重后的数量。</x:v>
      </x:c>
      <x:c r="K24" s="77" t="str">
        <x:v>刻画上市前股权参与结构的规模，为PE/VC计数提供分母。</x:v>
      </x:c>
      <x:c r="L24" s="77" t="str">
        <x:v>计算值</x:v>
      </x:c>
      <x:c r="M24" s="77" t="str">
        <x:v>CANDIDATE_DEFINED_NOT_COMPUTED</x:v>
      </x:c>
      <x:c r="N24" s="92" t="n">
        <x:f>COUNTIF($A$5:$A$36,A24)</x:f>
        <x:v>1</x:v>
      </x:c>
      <x:c r="O24" s="92" t="n">
        <x:f>COUNTIF($B$5:$B$36,B24)</x:f>
        <x:v>1</x:v>
      </x:c>
    </x:row>
    <x:row r="25" ht="72" customHeight="1">
      <x:c r="A25" s="90" t="str">
        <x:v>CV021</x:v>
      </x:c>
      <x:c r="B25" s="90" t="str">
        <x:v>financing_investor_legal_entity_count</x:v>
      </x:c>
      <x:c r="C25" s="77" t="str">
        <x:v>融资投资方法律主体数</x:v>
      </x:c>
      <x:c r="D25" s="77" t="str">
        <x:v>融资参与广度</x:v>
      </x:c>
      <x:c r="E25" s="77" t="str">
        <x:v>B扩展</x:v>
      </x:c>
      <x:c r="F25" s="77" t="str">
        <x:v>公司层</x:v>
      </x:c>
      <x:c r="G25" s="77" t="str">
        <x:v>解释/案例选择变量</x:v>
      </x:c>
      <x:c r="H25" s="77" t="str">
        <x:v>INTEGER</x:v>
      </x:c>
      <x:c r="I25" s="77" t="str">
        <x:v>个</x:v>
      </x:c>
      <x:c r="J25" s="77" t="str">
        <x:v>参与融资轮相关交易且角色为INVESTOR的法律主体去重数。</x:v>
      </x:c>
      <x:c r="K25" s="77" t="str">
        <x:v>比全部直接主体更贴近直接股权融资活动本身。</x:v>
      </x:c>
      <x:c r="L25" s="77" t="str">
        <x:v>计算值</x:v>
      </x:c>
      <x:c r="M25" s="77" t="str">
        <x:v>CANDIDATE_DEFINED_NOT_COMPUTED</x:v>
      </x:c>
      <x:c r="N25" s="92" t="n">
        <x:f>COUNTIF($A$5:$A$36,A25)</x:f>
        <x:v>1</x:v>
      </x:c>
      <x:c r="O25" s="92" t="n">
        <x:f>COUNTIF($B$5:$B$36,B25)</x:f>
        <x:v>1</x:v>
      </x:c>
    </x:row>
    <x:row r="26" ht="72" customHeight="1">
      <x:c r="A26" s="90" t="str">
        <x:v>CV022</x:v>
      </x:c>
      <x:c r="B26" s="90" t="str">
        <x:v>financing_investors_per_round</x:v>
      </x:c>
      <x:c r="C26" s="77" t="str">
        <x:v>每轮融资投资方密度</x:v>
      </x:c>
      <x:c r="D26" s="77" t="str">
        <x:v>融资参与密度</x:v>
      </x:c>
      <x:c r="E26" s="77" t="str">
        <x:v>B扩展</x:v>
      </x:c>
      <x:c r="F26" s="77" t="str">
        <x:v>公司层</x:v>
      </x:c>
      <x:c r="G26" s="77" t="str">
        <x:v>相对解释变量</x:v>
      </x:c>
      <x:c r="H26" s="77" t="str">
        <x:v>RATIO</x:v>
      </x:c>
      <x:c r="I26" s="77" t="str">
        <x:v>个/轮</x:v>
      </x:c>
      <x:c r="J26" s="77" t="str">
        <x:v>融资投资方法律主体数除以上市前直接股权融资轮数。</x:v>
      </x:c>
      <x:c r="K26" s="77" t="str">
        <x:v>把投资方广度相对于融资频度标准化。</x:v>
      </x:c>
      <x:c r="L26" s="77" t="str">
        <x:v>计算值</x:v>
      </x:c>
      <x:c r="M26" s="77" t="str">
        <x:v>CANDIDATE_DEFINED_NOT_COMPUTED</x:v>
      </x:c>
      <x:c r="N26" s="92" t="n">
        <x:f>COUNTIF($A$5:$A$36,A26)</x:f>
        <x:v>1</x:v>
      </x:c>
      <x:c r="O26" s="92" t="n">
        <x:f>COUNTIF($B$5:$B$36,B26)</x:f>
        <x:v>1</x:v>
      </x:c>
    </x:row>
    <x:row r="27" ht="72" customHeight="1">
      <x:c r="A27" s="90" t="str">
        <x:v>CV023</x:v>
      </x:c>
      <x:c r="B27" s="90" t="str">
        <x:v>financing_method_diversity</x:v>
      </x:c>
      <x:c r="C27" s="77" t="str">
        <x:v>融资方式多样性</x:v>
      </x:c>
      <x:c r="D27" s="77" t="str">
        <x:v>融资机制</x:v>
      </x:c>
      <x:c r="E27" s="77" t="str">
        <x:v>B扩展</x:v>
      </x:c>
      <x:c r="F27" s="77" t="str">
        <x:v>公司层</x:v>
      </x:c>
      <x:c r="G27" s="77" t="str">
        <x:v>机制/案例选择变量</x:v>
      </x:c>
      <x:c r="H27" s="77" t="str">
        <x:v>INTEGER</x:v>
      </x:c>
      <x:c r="I27" s="77" t="str">
        <x:v>种</x:v>
      </x:c>
      <x:c r="J27" s="77" t="str">
        <x:v>融资交易组成中CAPITAL_INCREASE与DIRECTIONAL_ISSUANCE等标准化方式的去重数。</x:v>
      </x:c>
      <x:c r="K27" s="77" t="str">
        <x:v>识别企业是否采用单一或多种直接股权融资机制。</x:v>
      </x:c>
      <x:c r="L27" s="77" t="str">
        <x:v>计算值</x:v>
      </x:c>
      <x:c r="M27" s="77" t="str">
        <x:v>CANDIDATE_DEFINED_NOT_COMPUTED</x:v>
      </x:c>
      <x:c r="N27" s="92" t="n">
        <x:f>COUNTIF($A$5:$A$36,A27)</x:f>
        <x:v>1</x:v>
      </x:c>
      <x:c r="O27" s="92" t="n">
        <x:f>COUNTIF($B$5:$B$36,B27)</x:f>
        <x:v>1</x:v>
      </x:c>
    </x:row>
    <x:row r="28" ht="72" customHeight="1">
      <x:c r="A28" s="90" t="str">
        <x:v>CV024</x:v>
      </x:c>
      <x:c r="B28" s="90" t="str">
        <x:v>equity_transfer_transaction_count</x:v>
      </x:c>
      <x:c r="C28" s="77" t="str">
        <x:v>股权转让交易数</x:v>
      </x:c>
      <x:c r="D28" s="77" t="str">
        <x:v>二级股权流动</x:v>
      </x:c>
      <x:c r="E28" s="77" t="str">
        <x:v>A核心</x:v>
      </x:c>
      <x:c r="F28" s="77" t="str">
        <x:v>公司层</x:v>
      </x:c>
      <x:c r="G28" s="77" t="str">
        <x:v>解释/案例选择变量</x:v>
      </x:c>
      <x:c r="H28" s="77" t="str">
        <x:v>INTEGER</x:v>
      </x:c>
      <x:c r="I28" s="77" t="str">
        <x:v>笔</x:v>
      </x:c>
      <x:c r="J28" s="77" t="str">
        <x:v>transaction_type_standardized=EQUITY_TRANSFER的公司内交易记录数。</x:v>
      </x:c>
      <x:c r="K28" s="77" t="str">
        <x:v>刻画上市前存量股权流动频度，与发行人直接融资轮次严格分开。</x:v>
      </x:c>
      <x:c r="L28" s="77" t="str">
        <x:v>计算值</x:v>
      </x:c>
      <x:c r="M28" s="77" t="str">
        <x:v>CANDIDATE_DEFINED_NOT_COMPUTED</x:v>
      </x:c>
      <x:c r="N28" s="92" t="n">
        <x:f>COUNTIF($A$5:$A$36,A28)</x:f>
        <x:v>1</x:v>
      </x:c>
      <x:c r="O28" s="92" t="n">
        <x:f>COUNTIF($B$5:$B$36,B28)</x:f>
        <x:v>1</x:v>
      </x:c>
    </x:row>
    <x:row r="29" ht="72" customHeight="1">
      <x:c r="A29" s="90" t="str">
        <x:v>CV025</x:v>
      </x:c>
      <x:c r="B29" s="90" t="str">
        <x:v>equity_transfer_amount_lower_bound_10k_cny</x:v>
      </x:c>
      <x:c r="C29" s="77" t="str">
        <x:v>可核验股权转让对价下限</x:v>
      </x:c>
      <x:c r="D29" s="77" t="str">
        <x:v>二级股权流动</x:v>
      </x:c>
      <x:c r="E29" s="77" t="str">
        <x:v>A核心</x:v>
      </x:c>
      <x:c r="F29" s="77" t="str">
        <x:v>公司层</x:v>
      </x:c>
      <x:c r="G29" s="77" t="str">
        <x:v>解释/案例选择变量</x:v>
      </x:c>
      <x:c r="H29" s="77" t="str">
        <x:v>CONTINUOUS</x:v>
      </x:c>
      <x:c r="I29" s="77" t="str">
        <x:v>万元人民币</x:v>
      </x:c>
      <x:c r="J29" s="77" t="str">
        <x:v>存量股权转让对价的可核验公司级下限。</x:v>
      </x:c>
      <x:c r="K29" s="77" t="str">
        <x:v>在转让频度之外衡量可核验的二级股权交易规模。</x:v>
      </x:c>
      <x:c r="L29" s="77" t="str">
        <x:v>标准化值+计算值</x:v>
      </x:c>
      <x:c r="M29" s="77" t="str">
        <x:v>CANDIDATE_DEFINED_NOT_COMPUTED</x:v>
      </x:c>
      <x:c r="N29" s="92" t="n">
        <x:f>COUNTIF($A$5:$A$36,A29)</x:f>
        <x:v>1</x:v>
      </x:c>
      <x:c r="O29" s="92" t="n">
        <x:f>COUNTIF($B$5:$B$36,B29)</x:f>
        <x:v>1</x:v>
      </x:c>
    </x:row>
    <x:row r="30" ht="72" customHeight="1">
      <x:c r="A30" s="90" t="str">
        <x:v>CV026</x:v>
      </x:c>
      <x:c r="B30" s="90" t="str">
        <x:v>secondary_to_primary_amount_ratio</x:v>
      </x:c>
      <x:c r="C30" s="77" t="str">
        <x:v>转让对价与融资金额比</x:v>
      </x:c>
      <x:c r="D30" s="77" t="str">
        <x:v>二级股权流动</x:v>
      </x:c>
      <x:c r="E30" s="77" t="str">
        <x:v>B扩展</x:v>
      </x:c>
      <x:c r="F30" s="77" t="str">
        <x:v>公司层</x:v>
      </x:c>
      <x:c r="G30" s="77" t="str">
        <x:v>相对解释/案例选择变量</x:v>
      </x:c>
      <x:c r="H30" s="77" t="str">
        <x:v>RATIO</x:v>
      </x:c>
      <x:c r="I30" s="77" t="str">
        <x:v>0–∞</x:v>
      </x:c>
      <x:c r="J30" s="77" t="str">
        <x:v>可核验股权转让对价下限除以可核验直接股权融资金额下限。</x:v>
      </x:c>
      <x:c r="K30" s="77" t="str">
        <x:v>用于描述二级股权交易相对于发行人融资的可核验规模，而不是把两类资金流相加。</x:v>
      </x:c>
      <x:c r="L30" s="77" t="str">
        <x:v>计算值</x:v>
      </x:c>
      <x:c r="M30" s="77" t="str">
        <x:v>CANDIDATE_DEFINED_NOT_COMPUTED</x:v>
      </x:c>
      <x:c r="N30" s="92" t="n">
        <x:f>COUNTIF($A$5:$A$36,A30)</x:f>
        <x:v>1</x:v>
      </x:c>
      <x:c r="O30" s="92" t="n">
        <x:f>COUNTIF($B$5:$B$36,B30)</x:f>
        <x:v>1</x:v>
      </x:c>
    </x:row>
    <x:row r="31" ht="72" customHeight="1">
      <x:c r="A31" s="90" t="str">
        <x:v>CV027</x:v>
      </x:c>
      <x:c r="B31" s="90" t="str">
        <x:v>known_financing_round_amount_count</x:v>
      </x:c>
      <x:c r="C31" s="77" t="str">
        <x:v>金额已知融资轮数</x:v>
      </x:c>
      <x:c r="D31" s="77" t="str">
        <x:v>数据可用性</x:v>
      </x:c>
      <x:c r="E31" s="77" t="str">
        <x:v>Q质量</x:v>
      </x:c>
      <x:c r="F31" s="77" t="str">
        <x:v>公司层</x:v>
      </x:c>
      <x:c r="G31" s="77" t="str">
        <x:v>质量控制变量</x:v>
      </x:c>
      <x:c r="H31" s="77" t="str">
        <x:v>INTEGER</x:v>
      </x:c>
      <x:c r="I31" s="77" t="str">
        <x:v>轮</x:v>
      </x:c>
      <x:c r="J31" s="77" t="str">
        <x:v>融资轮事件中financing_amount_10k_cny非null的轮次数。</x:v>
      </x:c>
      <x:c r="K31" s="77" t="str">
        <x:v>明确公司单轮金额统计由多少轮支撑，防止把少量已知轮次当成完整历史。</x:v>
      </x:c>
      <x:c r="L31" s="77" t="str">
        <x:v>计算值</x:v>
      </x:c>
      <x:c r="M31" s="77" t="str">
        <x:v>CANDIDATE_DEFINED_NOT_COMPUTED</x:v>
      </x:c>
      <x:c r="N31" s="92" t="n">
        <x:f>COUNTIF($A$5:$A$36,A31)</x:f>
        <x:v>1</x:v>
      </x:c>
      <x:c r="O31" s="92" t="n">
        <x:f>COUNTIF($B$5:$B$36,B31)</x:f>
        <x:v>1</x:v>
      </x:c>
    </x:row>
    <x:row r="32" ht="72" customHeight="1">
      <x:c r="A32" s="90" t="str">
        <x:v>CV028</x:v>
      </x:c>
      <x:c r="B32" s="90" t="str">
        <x:v>financing_round_amount_coverage_rate</x:v>
      </x:c>
      <x:c r="C32" s="77" t="str">
        <x:v>融资轮金额覆盖率</x:v>
      </x:c>
      <x:c r="D32" s="77" t="str">
        <x:v>数据可用性</x:v>
      </x:c>
      <x:c r="E32" s="77" t="str">
        <x:v>Q质量</x:v>
      </x:c>
      <x:c r="F32" s="77" t="str">
        <x:v>公司层</x:v>
      </x:c>
      <x:c r="G32" s="77" t="str">
        <x:v>质量控制/解释门槛</x:v>
      </x:c>
      <x:c r="H32" s="77" t="str">
        <x:v>RATIO</x:v>
      </x:c>
      <x:c r="I32" s="77" t="str">
        <x:v>0–1</x:v>
      </x:c>
      <x:c r="J32" s="77" t="str">
        <x:v>金额已知融资轮数占公司融资轮总数的比例。</x:v>
      </x:c>
      <x:c r="K32" s="77" t="str">
        <x:v>为均值、中位数、峰值和集中度提供共同的解释门槛。</x:v>
      </x:c>
      <x:c r="L32" s="77" t="str">
        <x:v>计算值</x:v>
      </x:c>
      <x:c r="M32" s="77" t="str">
        <x:v>CANDIDATE_DEFINED_NOT_COMPUTED</x:v>
      </x:c>
      <x:c r="N32" s="92" t="n">
        <x:f>COUNTIF($A$5:$A$36,A32)</x:f>
        <x:v>1</x:v>
      </x:c>
      <x:c r="O32" s="92" t="n">
        <x:f>COUNTIF($B$5:$B$36,B32)</x:f>
        <x:v>1</x:v>
      </x:c>
    </x:row>
    <x:row r="33" ht="72" customHeight="1">
      <x:c r="A33" s="90" t="str">
        <x:v>CV029</x:v>
      </x:c>
      <x:c r="B33" s="90" t="str">
        <x:v>financing_round_date_coverage_rate</x:v>
      </x:c>
      <x:c r="C33" s="77" t="str">
        <x:v>融资轮日期覆盖率</x:v>
      </x:c>
      <x:c r="D33" s="77" t="str">
        <x:v>数据可用性</x:v>
      </x:c>
      <x:c r="E33" s="77" t="str">
        <x:v>Q质量</x:v>
      </x:c>
      <x:c r="F33" s="77" t="str">
        <x:v>公司层</x:v>
      </x:c>
      <x:c r="G33" s="77" t="str">
        <x:v>质量控制/解释门槛</x:v>
      </x:c>
      <x:c r="H33" s="77" t="str">
        <x:v>RATIO</x:v>
      </x:c>
      <x:c r="I33" s="77" t="str">
        <x:v>0–1</x:v>
      </x:c>
      <x:c r="J33" s="77" t="str">
        <x:v>具有DAY或MONTH精度标准化日期的融资轮数占融资轮总数。</x:v>
      </x:c>
      <x:c r="K33" s="77" t="str">
        <x:v>判断融资跨度、间隔和首次进入时点是否有足够日期基础。</x:v>
      </x:c>
      <x:c r="L33" s="77" t="str">
        <x:v>计算值</x:v>
      </x:c>
      <x:c r="M33" s="77" t="str">
        <x:v>CANDIDATE_DEFINED_NOT_COMPUTED</x:v>
      </x:c>
      <x:c r="N33" s="92" t="n">
        <x:f>COUNTIF($A$5:$A$36,A33)</x:f>
        <x:v>1</x:v>
      </x:c>
      <x:c r="O33" s="92" t="n">
        <x:f>COUNTIF($B$5:$B$36,B33)</x:f>
        <x:v>1</x:v>
      </x:c>
    </x:row>
    <x:row r="34" ht="72" customHeight="1">
      <x:c r="A34" s="90" t="str">
        <x:v>CV030</x:v>
      </x:c>
      <x:c r="B34" s="90" t="str">
        <x:v>calculated_round_amount_share</x:v>
      </x:c>
      <x:c r="C34" s="77" t="str">
        <x:v>计算型轮次金额占比</x:v>
      </x:c>
      <x:c r="D34" s="77" t="str">
        <x:v>数值来源结构</x:v>
      </x:c>
      <x:c r="E34" s="77" t="str">
        <x:v>Q质量</x:v>
      </x:c>
      <x:c r="F34" s="77" t="str">
        <x:v>公司层</x:v>
      </x:c>
      <x:c r="G34" s="77" t="str">
        <x:v>质量控制变量</x:v>
      </x:c>
      <x:c r="H34" s="77" t="str">
        <x:v>RATIO</x:v>
      </x:c>
      <x:c r="I34" s="77" t="str">
        <x:v>0–1</x:v>
      </x:c>
      <x:c r="J34" s="77" t="str">
        <x:v>已知金额融资轮中amount_source_type=CALCULATED的轮次占比。</x:v>
      </x:c>
      <x:c r="K34" s="77" t="str">
        <x:v>区分直接披露金额与由股份数、价格等明确推算的金额，避免把来源层混同。</x:v>
      </x:c>
      <x:c r="L34" s="77" t="str">
        <x:v>计算值</x:v>
      </x:c>
      <x:c r="M34" s="77" t="str">
        <x:v>CANDIDATE_DEFINED_NOT_COMPUTED</x:v>
      </x:c>
      <x:c r="N34" s="92" t="n">
        <x:f>COUNTIF($A$5:$A$36,A34)</x:f>
        <x:v>1</x:v>
      </x:c>
      <x:c r="O34" s="92" t="n">
        <x:f>COUNTIF($B$5:$B$36,B34)</x:f>
        <x:v>1</x:v>
      </x:c>
    </x:row>
    <x:row r="35" ht="72" customHeight="1">
      <x:c r="A35" s="90" t="str">
        <x:v>CV031</x:v>
      </x:c>
      <x:c r="B35" s="90" t="str">
        <x:v>evidence_records_per_financing_round</x:v>
      </x:c>
      <x:c r="C35" s="77" t="str">
        <x:v>每轮融资证据记录数</x:v>
      </x:c>
      <x:c r="D35" s="77" t="str">
        <x:v>证据密度</x:v>
      </x:c>
      <x:c r="E35" s="77" t="str">
        <x:v>Q质量</x:v>
      </x:c>
      <x:c r="F35" s="77" t="str">
        <x:v>公司层</x:v>
      </x:c>
      <x:c r="G35" s="77" t="str">
        <x:v>质量控制变量</x:v>
      </x:c>
      <x:c r="H35" s="77" t="str">
        <x:v>RATIO</x:v>
      </x:c>
      <x:c r="I35" s="77" t="str">
        <x:v>条/轮</x:v>
      </x:c>
      <x:c r="J35" s="77" t="str">
        <x:v>与融资轮事件直接关联的去重证据记录数除以融资轮数。</x:v>
      </x:c>
      <x:c r="K35" s="77" t="str">
        <x:v>描述结构化证据支撑密度，并用于发现证据链接薄弱的公司。</x:v>
      </x:c>
      <x:c r="L35" s="77" t="str">
        <x:v>计算值</x:v>
      </x:c>
      <x:c r="M35" s="77" t="str">
        <x:v>CANDIDATE_DEFINED_NOT_COMPUTED</x:v>
      </x:c>
      <x:c r="N35" s="92" t="n">
        <x:f>COUNTIF($A$5:$A$36,A35)</x:f>
        <x:v>1</x:v>
      </x:c>
      <x:c r="O35" s="92" t="n">
        <x:f>COUNTIF($B$5:$B$36,B35)</x:f>
        <x:v>1</x:v>
      </x:c>
    </x:row>
    <x:row r="36" ht="72" customHeight="1">
      <x:c r="A36" s="90" t="str">
        <x:v>CV032</x:v>
      </x:c>
      <x:c r="B36" s="90" t="str">
        <x:v>disclosure_limitation_flag</x:v>
      </x:c>
      <x:c r="C36" s="77" t="str">
        <x:v>公司级披露限制标记</x:v>
      </x:c>
      <x:c r="D36" s="77" t="str">
        <x:v>披露边界</x:v>
      </x:c>
      <x:c r="E36" s="77" t="str">
        <x:v>Q质量</x:v>
      </x:c>
      <x:c r="F36" s="77" t="str">
        <x:v>公司层</x:v>
      </x:c>
      <x:c r="G36" s="77" t="str">
        <x:v>质量控制/分层变量</x:v>
      </x:c>
      <x:c r="H36" s="77" t="str">
        <x:v>BINARY</x:v>
      </x:c>
      <x:c r="I36" s="77" t="str">
        <x:v>0/1</x:v>
      </x:c>
      <x:c r="J36" s="77" t="str">
        <x:v>公司层是否存在非空且经最终复核的disclosure_limitation说明。</x:v>
      </x:c>
      <x:c r="K36" s="77" t="str">
        <x:v>把无法完全重建的披露边界显式带入后续比较，避免遗漏限制说明。</x:v>
      </x:c>
      <x:c r="L36" s="77" t="str">
        <x:v>研究判断派生</x:v>
      </x:c>
      <x:c r="M36" s="77" t="str">
        <x:v>CANDIDATE_DEFINED_NOT_COMPUTED</x:v>
      </x:c>
      <x:c r="N36" s="92" t="n">
        <x:f>COUNTIF($A$5:$A$36,A36)</x:f>
        <x:v>1</x:v>
      </x:c>
      <x:c r="O36" s="92" t="n">
        <x:f>COUNTIF($B$5:$B$36,B36)</x:f>
        <x:v>1</x:v>
      </x:c>
    </x:row>
  </x:sheetData>
  <x:mergeCells>
    <x:mergeCell ref="A1:O1"/>
    <x:mergeCell ref="A2:O2"/>
  </x:mergeCells>
  <x:conditionalFormatting sqref="E5:E36">
    <x:cfRule type="expression" dxfId="3" priority="1">
      <x:formula>$E5="A核心"</x:formula>
    </x:cfRule>
    <x:cfRule type="expression" dxfId="4" priority="2">
      <x:formula>$E5="B扩展"</x:formula>
    </x:cfRule>
    <x:cfRule type="expression" dxfId="5" priority="3">
      <x:formula>$E5="Q质量"</x:formula>
    </x:cfRule>
  </x:conditionalFormatting>
  <x:conditionalFormatting sqref="N5:O36">
    <x:cfRule type="cellIs" dxfId="6" priority="4" operator="notEqual">
      <x:formula>1</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72" hidden="0" customWidth="1"/>
    <x:col min="4" max="4" width="66" hidden="0" customWidth="1"/>
    <x:col min="5" max="5" width="60" hidden="0" customWidth="1"/>
    <x:col min="6" max="6" width="60" hidden="0" customWidth="1"/>
    <x:col min="7" max="7" width="58" hidden="0" customWidth="1"/>
    <x:col min="8" max="8" width="58" hidden="0" customWidth="1"/>
    <x:col min="9" max="9" width="64" hidden="0" customWidth="1"/>
    <x:col min="10" max="10" width="30" hidden="0" customWidth="1"/>
    <x:col min="11" max="11" width="62" hidden="0" customWidth="1"/>
    <x:col min="12" max="12" width="34" hidden="0" customWidth="1"/>
  </x:cols>
  <x:sheetData>
    <x:row r="1" ht="32" customHeight="1">
      <x:c r="A1" s="3" t="str">
        <x:v>计算、null与解释规则</x:v>
      </x:c>
      <x:c r="B1" s="3"/>
      <x:c r="C1" s="3"/>
      <x:c r="D1" s="3"/>
      <x:c r="E1" s="3"/>
      <x:c r="F1" s="3"/>
      <x:c r="G1" s="3"/>
      <x:c r="H1" s="3"/>
      <x:c r="I1" s="3"/>
      <x:c r="J1" s="3"/>
      <x:c r="K1" s="3"/>
      <x:c r="L1" s="3"/>
    </x:row>
    <x:row r="2" ht="34" customHeight="1">
      <x:c r="A2" s="7" t="str">
        <x:v>公式为可审计伪代码；Stage 4实现时必须逐条遵守计算门槛、null规则和zero规则。</x:v>
      </x:c>
      <x:c r="B2" s="7"/>
      <x:c r="C2" s="7"/>
      <x:c r="D2" s="7"/>
      <x:c r="E2" s="7"/>
      <x:c r="F2" s="7"/>
      <x:c r="G2" s="7"/>
      <x:c r="H2" s="7"/>
      <x:c r="I2" s="7"/>
      <x:c r="J2" s="7"/>
      <x:c r="K2" s="7"/>
      <x:c r="L2" s="7"/>
    </x:row>
    <x:row r="3">
      <x:c r="A3" s="11"/>
      <x:c r="B3" s="11"/>
      <x:c r="C3" s="11"/>
      <x:c r="D3" s="11"/>
      <x:c r="E3" s="11"/>
      <x:c r="F3" s="11"/>
      <x:c r="G3" s="11"/>
      <x:c r="H3" s="11"/>
      <x:c r="I3" s="11"/>
      <x:c r="J3" s="11"/>
      <x:c r="K3" s="11"/>
      <x:c r="L3" s="11"/>
    </x:row>
    <x:row r="4" ht="34" customHeight="1">
      <x:c r="A4" s="68" t="str">
        <x:v>变量ID</x:v>
      </x:c>
      <x:c r="B4" s="69" t="str">
        <x:v>英文变量名</x:v>
      </x:c>
      <x:c r="C4" s="69" t="str">
        <x:v>来源字段</x:v>
      </x:c>
      <x:c r="D4" s="69" t="str">
        <x:v>计算规则</x:v>
      </x:c>
      <x:c r="E4" s="69" t="str">
        <x:v>计算资格闸门</x:v>
      </x:c>
      <x:c r="F4" s="69" t="str">
        <x:v>null规则</x:v>
      </x:c>
      <x:c r="G4" s="69" t="str">
        <x:v>zero规则</x:v>
      </x:c>
      <x:c r="H4" s="69" t="str">
        <x:v>可解释为</x:v>
      </x:c>
      <x:c r="I4" s="69" t="str">
        <x:v>不可解释为</x:v>
      </x:c>
      <x:c r="J4" s="69" t="str">
        <x:v>替代变量族</x:v>
      </x:c>
      <x:c r="K4" s="69" t="str">
        <x:v>Stage 4重点检查</x:v>
      </x:c>
      <x:c r="L4" s="70" t="str">
        <x:v>开发状态</x:v>
      </x:c>
    </x:row>
    <x:row r="5" ht="92" customHeight="1">
      <x:c r="A5" s="89" t="str">
        <x:v>CV001</x:v>
      </x:c>
      <x:c r="B5" s="89" t="str">
        <x:v>has_preipo_direct_equity_financing</x:v>
      </x:c>
      <x:c r="C5" s="93" t="str">
        <x:v>companies.financing_round_count</x:v>
      </x:c>
      <x:c r="D5" s="76" t="str">
        <x:v>若financing_round_count&gt;0则为1；若等于0则为0。</x:v>
      </x:c>
      <x:c r="E5" s="76" t="str">
        <x:v>financing_round_count已完成最终复核且非null。</x:v>
      </x:c>
      <x:c r="F5" s="97" t="str">
        <x:v>若融资轮次尚未完成复核则为null。</x:v>
      </x:c>
      <x:c r="G5" s="97" t="str">
        <x:v>0仅表示明确没有符合统一口径的融资轮次，不表示未披露。</x:v>
      </x:c>
      <x:c r="H5" s="76" t="str">
        <x:v>1表示发生过至少一次样本口径内融资。</x:v>
      </x:c>
      <x:c r="I5" s="76" t="str">
        <x:v>不能解释为融资成功、融资质量高或存在PE/VC。</x:v>
      </x:c>
      <x:c r="J5" s="76" t="str">
        <x:v>FIN_OCCURRENCE</x:v>
      </x:c>
      <x:c r="K5" s="76" t="str">
        <x:v>确认0轮公司的事件覆盖和scope排除逻辑。</x:v>
      </x:c>
      <x:c r="L5" s="76" t="str">
        <x:v>CANDIDATE_DEFINED_NOT_COMPUTED</x:v>
      </x:c>
    </x:row>
    <x:row r="6" ht="92" customHeight="1">
      <x:c r="A6" s="90" t="str">
        <x:v>CV002</x:v>
      </x:c>
      <x:c r="B6" s="90" t="str">
        <x:v>financing_round_count</x:v>
      </x:c>
      <x:c r="C6" s="94" t="str">
        <x:v>companies.financing_round_count; financing_events.financing_round_flag; financing_events.company_id</x:v>
      </x:c>
      <x:c r="D6" s="77" t="str">
        <x:v>公司层冻结值，并与financing_events中TRUE记录数复核。</x:v>
      </x:c>
      <x:c r="E6" s="77" t="str">
        <x:v>公司事件覆盖完整且轮次判断已验收。</x:v>
      </x:c>
      <x:c r="F6" s="98" t="str">
        <x:v>不得为空；若未完成轮次复核则为null而不是猜测。</x:v>
      </x:c>
      <x:c r="G6" s="98" t="str">
        <x:v>0表示明确无符合统一口径的融资轮次。</x:v>
      </x:c>
      <x:c r="H6" s="77" t="str">
        <x:v>数值越大只表示样本口径内轮次更多。</x:v>
      </x:c>
      <x:c r="I6" s="77" t="str">
        <x:v>不能直接解释为融资难度、融资绩效或公司质量。</x:v>
      </x:c>
      <x:c r="J6" s="77" t="str">
        <x:v>FIN_FREQUENCY</x:v>
      </x:c>
      <x:c r="K6" s="77" t="str">
        <x:v>复核公司层值与事件层计数是否一致。</x:v>
      </x:c>
      <x:c r="L6" s="77" t="str">
        <x:v>CANDIDATE_DEFINED_NOT_COMPUTED</x:v>
      </x:c>
    </x:row>
    <x:row r="7" ht="92" customHeight="1">
      <x:c r="A7" s="90" t="str">
        <x:v>CV003</x:v>
      </x:c>
      <x:c r="B7" s="90" t="str">
        <x:v>financing_amount_lower_bound_10k_cny</x:v>
      </x:c>
      <x:c r="C7" s="94" t="str">
        <x:v>companies.financing_amount_lower_bound_10k_cny; companies.financing_amount_status</x:v>
      </x:c>
      <x:c r="D7" s="77" t="str">
        <x:v>直接读取公司层冻结金额，并始终联用financing_amount_status。</x:v>
      </x:c>
      <x:c r="E7" s="77" t="str">
        <x:v>金额状态允许数值且公司层金额已通过Week 8复核。</x:v>
      </x:c>
      <x:c r="F7" s="98" t="str">
        <x:v>NOT_DISCLOSED、NOT_CALCULABLE或HISTORICAL_NOT_RECONSTRUCTIBLE时为null。</x:v>
      </x:c>
      <x:c r="G7" s="98" t="str">
        <x:v>只有原文明确支持零融资金额时才允许0；未知不得补0。</x:v>
      </x:c>
      <x:c r="H7" s="77" t="str">
        <x:v>表示可核验的发行人资金流入下限。</x:v>
      </x:c>
      <x:c r="I7" s="77" t="str">
        <x:v>不是估值、募资总额上限，也不包含股权转让对价。</x:v>
      </x:c>
      <x:c r="J7" s="77" t="str">
        <x:v>FIN_AMOUNT</x:v>
      </x:c>
      <x:c r="K7" s="77" t="str">
        <x:v>统计有效公司数，并区分COMPLETE与LOWER_BOUND。</x:v>
      </x:c>
      <x:c r="L7" s="77" t="str">
        <x:v>CANDIDATE_DEFINED_NOT_COMPUTED</x:v>
      </x:c>
    </x:row>
    <x:row r="8" ht="92" customHeight="1">
      <x:c r="A8" s="90" t="str">
        <x:v>CV004</x:v>
      </x:c>
      <x:c r="B8" s="90" t="str">
        <x:v>log1p_financing_amount_lower_bound</x:v>
      </x:c>
      <x:c r="C8" s="94" t="str">
        <x:v>companies.financing_amount_lower_bound_10k_cny; companies.financing_amount_status</x:v>
      </x:c>
      <x:c r="D8" s="77" t="str">
        <x:v>LN(1+financing_amount_lower_bound_10k_cny)。</x:v>
      </x:c>
      <x:c r="E8" s="77" t="str">
        <x:v>原始金额非null且大于等于0。</x:v>
      </x:c>
      <x:c r="F8" s="98" t="str">
        <x:v>原始金额为null时保持null。</x:v>
      </x:c>
      <x:c r="G8" s="98" t="str">
        <x:v>原始金额明确为0时变换值为0。</x:v>
      </x:c>
      <x:c r="H8" s="77" t="str">
        <x:v>单位变化约对应融资金额的相对倍数变化。</x:v>
      </x:c>
      <x:c r="I8" s="77" t="str">
        <x:v>不应与原始金额同时作为同一小样本模型的平行解释变量。</x:v>
      </x:c>
      <x:c r="J8" s="77" t="str">
        <x:v>FIN_AMOUNT</x:v>
      </x:c>
      <x:c r="K8" s="77" t="str">
        <x:v>检查金额非负、偏度及与原始值的替代关系。</x:v>
      </x:c>
      <x:c r="L8" s="77" t="str">
        <x:v>CANDIDATE_DEFINED_NOT_COMPUTED</x:v>
      </x:c>
    </x:row>
    <x:row r="9" ht="92" customHeight="1">
      <x:c r="A9" s="90" t="str">
        <x:v>CV005</x:v>
      </x:c>
      <x:c r="B9" s="90" t="str">
        <x:v>mean_known_round_amount_10k_cny</x:v>
      </x:c>
      <x:c r="C9" s="94" t="str">
        <x:v>financing_events.company_id; financing_events.financing_round_flag; financing_events.financing_amount_10k_cny; financing_events.financing_amount_status</x:v>
      </x:c>
      <x:c r="D9" s="77" t="str">
        <x:v>SUM(已知轮次金额)/COUNT(已知轮次金额)。</x:v>
      </x:c>
      <x:c r="E9" s="77" t="str">
        <x:v>至少1个融资轮事件锚点金额非null。</x:v>
      </x:c>
      <x:c r="F9" s="98" t="str">
        <x:v>没有已知轮次金额时为null。</x:v>
      </x:c>
      <x:c r="G9" s="98" t="str">
        <x:v>只有已知轮金额本身明确为0时才可能得到0。</x:v>
      </x:c>
      <x:c r="H9" s="77" t="str">
        <x:v>表示已披露/可计算轮次中的平均规模。</x:v>
      </x:c>
      <x:c r="I9" s="77" t="str">
        <x:v>不是全部融资轮的真实平均值；不能替代公司层冻结融资总额。</x:v>
      </x:c>
      <x:c r="J9" s="77" t="str">
        <x:v>ROUND_TYPICAL_AMOUNT</x:v>
      </x:c>
      <x:c r="K9" s="77" t="str">
        <x:v>报告已知金额轮数及覆盖率。</x:v>
      </x:c>
      <x:c r="L9" s="77" t="str">
        <x:v>CANDIDATE_DEFINED_NOT_COMPUTED</x:v>
      </x:c>
    </x:row>
    <x:row r="10" ht="92" customHeight="1">
      <x:c r="A10" s="90" t="str">
        <x:v>CV006</x:v>
      </x:c>
      <x:c r="B10" s="90" t="str">
        <x:v>median_known_round_amount_10k_cny</x:v>
      </x:c>
      <x:c r="C10" s="94" t="str">
        <x:v>financing_events.company_id; financing_events.financing_round_flag; financing_events.financing_amount_10k_cny</x:v>
      </x:c>
      <x:c r="D10" s="77" t="str">
        <x:v>MEDIAN(公司内非null融资轮金额)。</x:v>
      </x:c>
      <x:c r="E10" s="77" t="str">
        <x:v>至少1个融资轮事件锚点金额非null。</x:v>
      </x:c>
      <x:c r="F10" s="98" t="str">
        <x:v>没有已知轮次金额时为null。</x:v>
      </x:c>
      <x:c r="G10" s="98" t="str">
        <x:v>0仅在中位位置由明确零金额构成时出现。</x:v>
      </x:c>
      <x:c r="H10" s="77" t="str">
        <x:v>表示已知轮次的中间水平。</x:v>
      </x:c>
      <x:c r="I10" s="77" t="str">
        <x:v>小轮次数公司中中位数可能非常不稳定。</x:v>
      </x:c>
      <x:c r="J10" s="77" t="str">
        <x:v>ROUND_TYPICAL_AMOUNT</x:v>
      </x:c>
      <x:c r="K10" s="77" t="str">
        <x:v>记录每家公司用于中位数的有效轮数。</x:v>
      </x:c>
      <x:c r="L10" s="77" t="str">
        <x:v>CANDIDATE_DEFINED_NOT_COMPUTED</x:v>
      </x:c>
    </x:row>
    <x:row r="11" ht="92" customHeight="1">
      <x:c r="A11" s="90" t="str">
        <x:v>CV007</x:v>
      </x:c>
      <x:c r="B11" s="90" t="str">
        <x:v>largest_known_round_amount_10k_cny</x:v>
      </x:c>
      <x:c r="C11" s="94" t="str">
        <x:v>financing_events.company_id; financing_events.financing_round_flag; financing_events.financing_amount_10k_cny</x:v>
      </x:c>
      <x:c r="D11" s="77" t="str">
        <x:v>MAX(公司内非null融资轮金额)。</x:v>
      </x:c>
      <x:c r="E11" s="77" t="str">
        <x:v>至少1个融资轮事件锚点金额非null。</x:v>
      </x:c>
      <x:c r="F11" s="98" t="str">
        <x:v>没有已知轮次金额时为null。</x:v>
      </x:c>
      <x:c r="G11" s="98" t="str">
        <x:v>0只有最大已知轮金额明确为0时成立。</x:v>
      </x:c>
      <x:c r="H11" s="77" t="str">
        <x:v>表示已知轮次中的融资峰值。</x:v>
      </x:c>
      <x:c r="I11" s="77" t="str">
        <x:v>若存在金额缺失轮次，它不一定是真实最大轮次。</x:v>
      </x:c>
      <x:c r="J11" s="77" t="str">
        <x:v>ROUND_PEAK</x:v>
      </x:c>
      <x:c r="K11" s="77" t="str">
        <x:v>结合金额覆盖率判断峰值是否可靠。</x:v>
      </x:c>
      <x:c r="L11" s="77" t="str">
        <x:v>CANDIDATE_DEFINED_NOT_COMPUTED</x:v>
      </x:c>
    </x:row>
    <x:row r="12" ht="92" customHeight="1">
      <x:c r="A12" s="90" t="str">
        <x:v>CV008</x:v>
      </x:c>
      <x:c r="B12" s="90" t="str">
        <x:v>largest_known_round_share</x:v>
      </x:c>
      <x:c r="C12" s="94" t="str">
        <x:v>financing_events.company_id; financing_events.financing_round_flag; financing_events.financing_amount_10k_cny</x:v>
      </x:c>
      <x:c r="D12" s="77" t="str">
        <x:v>MAX(已知轮金额)/SUM(已知轮金额)。</x:v>
      </x:c>
      <x:c r="E12" s="77" t="str">
        <x:v>至少1个已知轮金额且已知轮金额合计大于0。</x:v>
      </x:c>
      <x:c r="F12" s="98" t="str">
        <x:v>分母为0、无已知金额或无法确认金额边界时为null。</x:v>
      </x:c>
      <x:c r="G12" s="98" t="str">
        <x:v>不把分母不可用写成0；明确多轮零金额场景仍为null。</x:v>
      </x:c>
      <x:c r="H12" s="77" t="str">
        <x:v>越接近1表示已知金额更集中于单轮。</x:v>
      </x:c>
      <x:c r="I12" s="77" t="str">
        <x:v>不是完整融资集中度，且分母不得改用公司层金额以抹平120万元层级差。</x:v>
      </x:c>
      <x:c r="J12" s="77" t="str">
        <x:v>ROUND_CONCENTRATION</x:v>
      </x:c>
      <x:c r="K12" s="77" t="str">
        <x:v>设置金额覆盖率门槛并检查层级分母。</x:v>
      </x:c>
      <x:c r="L12" s="77" t="str">
        <x:v>CANDIDATE_DEFINED_NOT_COMPUTED</x:v>
      </x:c>
    </x:row>
    <x:row r="13" ht="92" customHeight="1">
      <x:c r="A13" s="90" t="str">
        <x:v>CV009</x:v>
      </x:c>
      <x:c r="B13" s="90" t="str">
        <x:v>financing_span_months</x:v>
      </x:c>
      <x:c r="C13" s="94" t="str">
        <x:v>financing_events.company_id; financing_events.financing_round_flag; financing_events.event_date_standardized; financing_events.date_precision</x:v>
      </x:c>
      <x:c r="D13" s="77" t="str">
        <x:v>MAX(12*年+月)-MIN(12*年+月)，不为MONTH精度虚构具体日。</x:v>
      </x:c>
      <x:c r="E13" s="77" t="str">
        <x:v>至少2轮具有DAY或MONTH精度的可用日期。</x:v>
      </x:c>
      <x:c r="F13" s="98" t="str">
        <x:v>不足2个可用日期或日期精度UNKNOWN时为null。</x:v>
      </x:c>
      <x:c r="G13" s="98" t="str">
        <x:v>同月发生的不同轮次可明确得到0个月。</x:v>
      </x:c>
      <x:c r="H13" s="77" t="str">
        <x:v>数值越大表示可观测融资期跨度越长。</x:v>
      </x:c>
      <x:c r="I13" s="77" t="str">
        <x:v>不是公司年龄，也不代表融资持续性或频率。</x:v>
      </x:c>
      <x:c r="J13" s="77" t="str">
        <x:v>FIN_TIMING</x:v>
      </x:c>
      <x:c r="K13" s="77" t="str">
        <x:v>核对同月事件、日期精度和可用日期轮数。</x:v>
      </x:c>
      <x:c r="L13" s="77" t="str">
        <x:v>CANDIDATE_DEFINED_NOT_COMPUTED</x:v>
      </x:c>
    </x:row>
    <x:row r="14" ht="92" customHeight="1">
      <x:c r="A14" s="90" t="str">
        <x:v>CV010</x:v>
      </x:c>
      <x:c r="B14" s="90" t="str">
        <x:v>median_financing_interval_months</x:v>
      </x:c>
      <x:c r="C14" s="94" t="str">
        <x:v>financing_events.company_id; financing_events.financing_round_flag; financing_events.event_date_standardized; financing_events.date_precision</x:v>
      </x:c>
      <x:c r="D14" s="77" t="str">
        <x:v>MEDIAN(排序后相邻month_index差)。</x:v>
      </x:c>
      <x:c r="E14" s="77" t="str">
        <x:v>至少2轮具有DAY或MONTH精度日期；同月并列按0月处理。</x:v>
      </x:c>
      <x:c r="F14" s="98" t="str">
        <x:v>不足2个可用日期时为null。</x:v>
      </x:c>
      <x:c r="G14" s="98" t="str">
        <x:v>同月相邻轮次可为0；缺失日期不得当0间隔。</x:v>
      </x:c>
      <x:c r="H14" s="77" t="str">
        <x:v>较小值表示可观测轮次更密集。</x:v>
      </x:c>
      <x:c r="I14" s="77" t="str">
        <x:v>不代表企业融资困难，也不处理无法排序的UNKNOWN日期。</x:v>
      </x:c>
      <x:c r="J14" s="77" t="str">
        <x:v>FIN_TIMING</x:v>
      </x:c>
      <x:c r="K14" s="77" t="str">
        <x:v>检查日期并列、排序规则与间隔数量。</x:v>
      </x:c>
      <x:c r="L14" s="77" t="str">
        <x:v>CANDIDATE_DEFINED_NOT_COMPUTED</x:v>
      </x:c>
    </x:row>
    <x:row r="15" ht="92" customHeight="1">
      <x:c r="A15" s="90" t="str">
        <x:v>CV011</x:v>
      </x:c>
      <x:c r="B15" s="90" t="str">
        <x:v>confirmed_pevc_participation_flag</x:v>
      </x:c>
      <x:c r="C15" s="94" t="str">
        <x:v>companies.confirmed_pevc_legal_entity_count; entities.standardized_pevc_status; investment_paths.company_id; investment_paths.investor_entity_id; investment_paths.standardized_path_status</x:v>
      </x:c>
      <x:c r="D15" s="77" t="str">
        <x:v>确认PEVC法律主体数&gt;0则为1；复核完整且等于0则为0。</x:v>
      </x:c>
      <x:c r="E15" s="77" t="str">
        <x:v>主体识别和公司归属路径均已最终复核。</x:v>
      </x:c>
      <x:c r="F15" s="98" t="str">
        <x:v>若主体明细或路径归属不完整则为null。</x:v>
      </x:c>
      <x:c r="G15" s="98" t="str">
        <x:v>0表示完成复核后未确认PE/VC，不把CANDIDATE、RELATED或UNRESOLVED算入。</x:v>
      </x:c>
      <x:c r="H15" s="77" t="str">
        <x:v>1表示至少一个确认PE/VC法律主体参与。</x:v>
      </x:c>
      <x:c r="I15" s="77" t="str">
        <x:v>不能解释为PE/VC发挥了积极作用，也不代表投资体系数量。</x:v>
      </x:c>
      <x:c r="J15" s="77" t="str">
        <x:v>PEVC_INTENSITY</x:v>
      </x:c>
      <x:c r="K15" s="77" t="str">
        <x:v>核对公司层计数与实体/路径归属。</x:v>
      </x:c>
      <x:c r="L15" s="77" t="str">
        <x:v>CANDIDATE_DEFINED_NOT_COMPUTED</x:v>
      </x:c>
    </x:row>
    <x:row r="16" ht="92" customHeight="1">
      <x:c r="A16" s="90" t="str">
        <x:v>CV012</x:v>
      </x:c>
      <x:c r="B16" s="90" t="str">
        <x:v>confirmed_pevc_legal_entity_count</x:v>
      </x:c>
      <x:c r="C16" s="94" t="str">
        <x:v>companies.confirmed_pevc_legal_entity_count; entities.entity_id; entities.canonical_entity_id; entities.standardized_pevc_status; investment_paths.company_id</x:v>
      </x:c>
      <x:c r="D16" s="77" t="str">
        <x:v>按canonical_entity_id优先、否则entity_id去重后计数；与公司层冻结值复核。</x:v>
      </x:c>
      <x:c r="E16" s="77" t="str">
        <x:v>主体身份和公司归属完成最终复核。</x:v>
      </x:c>
      <x:c r="F16" s="98" t="str">
        <x:v>主体明细无法核验时为null。</x:v>
      </x:c>
      <x:c r="G16" s="98" t="str">
        <x:v>0表示完整复核后没有PEVC_CONFIRMED主体。</x:v>
      </x:c>
      <x:c r="H16" s="77" t="str">
        <x:v>数值越大表示确认PE/VC法律主体更多。</x:v>
      </x:c>
      <x:c r="I16" s="77" t="str">
        <x:v>法律主体数不等于投资品牌、基金管理人或独立投资体系数。</x:v>
      </x:c>
      <x:c r="J16" s="77" t="str">
        <x:v>PEVC_INTENSITY</x:v>
      </x:c>
      <x:c r="K16" s="77" t="str">
        <x:v>检查别名合并、canonical键和跨公司归属。</x:v>
      </x:c>
      <x:c r="L16" s="77" t="str">
        <x:v>CANDIDATE_DEFINED_NOT_COMPUTED</x:v>
      </x:c>
    </x:row>
    <x:row r="17" ht="92" customHeight="1">
      <x:c r="A17" s="90" t="str">
        <x:v>CV013</x:v>
      </x:c>
      <x:c r="B17" s="90" t="str">
        <x:v>confirmed_pevc_share_of_direct_entities</x:v>
      </x:c>
      <x:c r="C17" s="94" t="str">
        <x:v>companies.confirmed_pevc_legal_entity_count; companies.unique_direct_legal_entity_count</x:v>
      </x:c>
      <x:c r="D17" s="77" t="str">
        <x:v>confirmed_pevc_legal_entity_count/unique_direct_legal_entity_count。</x:v>
      </x:c>
      <x:c r="E17" s="77" t="str">
        <x:v>分子分母非null、口径一致且分母&gt;0。</x:v>
      </x:c>
      <x:c r="F17" s="98" t="str">
        <x:v>分母为0或任一计数不可核验时为null。</x:v>
      </x:c>
      <x:c r="G17" s="98" t="str">
        <x:v>分子明确为0且分母&gt;0时比例为0。</x:v>
      </x:c>
      <x:c r="H17" s="77" t="str">
        <x:v>数值越高表示直接参与主体中确认PE/VC占比更高。</x:v>
      </x:c>
      <x:c r="I17" s="77" t="str">
        <x:v>不代表持股比例、资金贡献比例或控制权。</x:v>
      </x:c>
      <x:c r="J17" s="77" t="str">
        <x:v>PEVC_INTENSITY</x:v>
      </x:c>
      <x:c r="K17" s="77" t="str">
        <x:v>验证分子不大于分母及主体范围一致。</x:v>
      </x:c>
      <x:c r="L17" s="77" t="str">
        <x:v>CANDIDATE_DEFINED_NOT_COMPUTED</x:v>
      </x:c>
    </x:row>
    <x:row r="18" ht="92" customHeight="1">
      <x:c r="A18" s="90" t="str">
        <x:v>CV014</x:v>
      </x:c>
      <x:c r="B18" s="90" t="str">
        <x:v>confirmed_pevc_financing_round_count</x:v>
      </x:c>
      <x:c r="C18" s="94" t="str">
        <x:v>financing_events.event_id; financing_events.financing_round_flag; transactions.event_id; transaction_parties.transaction_id; transaction_parties.entity_id; entities.standardized_pevc_status; entities.canonical_entity_id</x:v>
      </x:c>
      <x:c r="D18" s="77" t="str">
        <x:v>连接融资轮→交易→投资方→主体身份，按event_id去重计数。</x:v>
      </x:c>
      <x:c r="E18" s="77" t="str">
        <x:v>融资轮与交易方链接完整，PEVC身份已复核。</x:v>
      </x:c>
      <x:c r="F18" s="98" t="str">
        <x:v>链接覆盖不足时为null。</x:v>
      </x:c>
      <x:c r="G18" s="98" t="str">
        <x:v>完整复核且没有确认PE/VC参与的融资轮时为0。</x:v>
      </x:c>
      <x:c r="H18" s="77" t="str">
        <x:v>数值越大表示确认PE/VC覆盖更多融资轮。</x:v>
      </x:c>
      <x:c r="I18" s="77" t="str">
        <x:v>不等于PE/VC投资次数或不同基金数量。</x:v>
      </x:c>
      <x:c r="J18" s="77" t="str">
        <x:v>PEVC_ROUND_DEPTH</x:v>
      </x:c>
      <x:c r="K18" s="77" t="str">
        <x:v>重点检查18轮中的party链接覆盖率。</x:v>
      </x:c>
      <x:c r="L18" s="77" t="str">
        <x:v>CANDIDATE_DEFINED_NOT_COMPUTED</x:v>
      </x:c>
    </x:row>
    <x:row r="19" ht="92" customHeight="1">
      <x:c r="A19" s="90" t="str">
        <x:v>CV015</x:v>
      </x:c>
      <x:c r="B19" s="90" t="str">
        <x:v>first_confirmed_pevc_entry_date</x:v>
      </x:c>
      <x:c r="C19" s="94" t="str">
        <x:v>investment_paths.company_id; investment_paths.investor_entity_id; investment_paths.transaction_date; investment_paths.date_precision; investment_paths.standardized_path_status; entities.standardized_pevc_status</x:v>
      </x:c>
      <x:c r="D19" s="77" t="str">
        <x:v>在确认路径中取最早可用transaction_date，同时保留date_precision。</x:v>
      </x:c>
      <x:c r="E19" s="77" t="str">
        <x:v>至少1条确认PE/VC路径具有可用日期。</x:v>
      </x:c>
      <x:c r="F19" s="98" t="str">
        <x:v>无确认PE/VC、仅UNKNOWN日期或路径归属不足时为null。</x:v>
      </x:c>
      <x:c r="G19" s="98" t="str">
        <x:v>日期变量不使用0；无PE/VC不是公元0年。</x:v>
      </x:c>
      <x:c r="H19" s="77" t="str">
        <x:v>表示披露证据支持的最早PE/VC进入时点。</x:v>
      </x:c>
      <x:c r="I19" s="77" t="str">
        <x:v>不一定是实际首次接触或签约日，也不能脱离日期精度比较到天。</x:v>
      </x:c>
      <x:c r="J19" s="77" t="str">
        <x:v>PEVC_FIRST_ENTRY_TIME</x:v>
      </x:c>
      <x:c r="K19" s="77" t="str">
        <x:v>检查无日期确认主体及月份精度。</x:v>
      </x:c>
      <x:c r="L19" s="77" t="str">
        <x:v>CANDIDATE_DEFINED_NOT_COMPUTED</x:v>
      </x:c>
    </x:row>
    <x:row r="20" ht="92" customHeight="1">
      <x:c r="A20" s="90" t="str">
        <x:v>CV016</x:v>
      </x:c>
      <x:c r="B20" s="90" t="str">
        <x:v>first_confirmed_pevc_entry_year</x:v>
      </x:c>
      <x:c r="C20" s="94" t="str">
        <x:v>investment_paths.transaction_date; investment_paths.date_precision; entities.standardized_pevc_status</x:v>
      </x:c>
      <x:c r="D20" s="77" t="str">
        <x:v>YEAR(first_confirmed_pevc_entry_date)。</x:v>
      </x:c>
      <x:c r="E20" s="77" t="str">
        <x:v>首次进入日期至少可识别到年份。</x:v>
      </x:c>
      <x:c r="F20" s="98" t="str">
        <x:v>首次进入日期为null时保持null。</x:v>
      </x:c>
      <x:c r="G20" s="98" t="str">
        <x:v>年份变量不使用0。</x:v>
      </x:c>
      <x:c r="H20" s="77" t="str">
        <x:v>用于识别进入的日历时期。</x:v>
      </x:c>
      <x:c r="I20" s="77" t="str">
        <x:v>绝对年份不是企业生命周期阶段，也不直接代表早或晚。</x:v>
      </x:c>
      <x:c r="J20" s="77" t="str">
        <x:v>PEVC_FIRST_ENTRY_TIME</x:v>
      </x:c>
      <x:c r="K20" s="77" t="str">
        <x:v>核对年份提取和宏观时期混杂。</x:v>
      </x:c>
      <x:c r="L20" s="77" t="str">
        <x:v>CANDIDATE_DEFINED_NOT_COMPUTED</x:v>
      </x:c>
    </x:row>
    <x:row r="21" ht="92" customHeight="1">
      <x:c r="A21" s="90" t="str">
        <x:v>CV017</x:v>
      </x:c>
      <x:c r="B21" s="90" t="str">
        <x:v>first_confirmed_pevc_financing_round_position</x:v>
      </x:c>
      <x:c r="C21" s="94" t="str">
        <x:v>financing_events.event_id; financing_events.company_id; financing_events.event_sequence; financing_events.financing_round_flag; transaction_parties.entity_id; entities.standardized_pevc_status</x:v>
      </x:c>
      <x:c r="D21" s="77" t="str">
        <x:v>ordinal(first PEVC-linked financing round)/financing_round_count，融资轮按事件序号排序。</x:v>
      </x:c>
      <x:c r="E21" s="77" t="str">
        <x:v>至少1轮融资且至少1轮可确认PE/VC参与，轮次链接完整。</x:v>
      </x:c>
      <x:c r="F21" s="98" t="str">
        <x:v>无PE/VC、仅能确认转让进入或轮次链接不足时为null。</x:v>
      </x:c>
      <x:c r="G21" s="98" t="str">
        <x:v>不以0表示无PE/VC；最早一轮为1/总轮数。</x:v>
      </x:c>
      <x:c r="H21" s="77" t="str">
        <x:v>越接近0表示在公司融资序列中越早进入。</x:v>
      </x:c>
      <x:c r="I21" s="77" t="str">
        <x:v>不是从公司成立到上市的时间比例，也不覆盖纯转让进入。</x:v>
      </x:c>
      <x:c r="J21" s="77" t="str">
        <x:v>PEVC_FIRST_ENTRY_POSITION</x:v>
      </x:c>
      <x:c r="K21" s="77" t="str">
        <x:v>检查转让进入与融资轮进入的区分。</x:v>
      </x:c>
      <x:c r="L21" s="77" t="str">
        <x:v>CANDIDATE_DEFINED_NOT_COMPUTED</x:v>
      </x:c>
    </x:row>
    <x:row r="22" ht="92" customHeight="1">
      <x:c r="A22" s="90" t="str">
        <x:v>CV018</x:v>
      </x:c>
      <x:c r="B22" s="90" t="str">
        <x:v>indirect_confirmed_pevc_path_flag</x:v>
      </x:c>
      <x:c r="C22" s="94" t="str">
        <x:v>investment_paths.company_id; investment_paths.investor_entity_id; investment_paths.direct_indirect; investment_paths.standardized_path_status; entities.standardized_pevc_status</x:v>
      </x:c>
      <x:c r="D22" s="77" t="str">
        <x:v>存在满足条件的确认路径则为1；完整复核后不存在则为0。</x:v>
      </x:c>
      <x:c r="E22" s="77" t="str">
        <x:v>路径覆盖和主体映射完整。</x:v>
      </x:c>
      <x:c r="F22" s="98" t="str">
        <x:v>路径覆盖不足时为null。</x:v>
      </x:c>
      <x:c r="G22" s="98" t="str">
        <x:v>0表示完整复核后未发现确认PE/VC间接路径。</x:v>
      </x:c>
      <x:c r="H22" s="77" t="str">
        <x:v>1表示至少存在一条确认的间接PE/VC投资路径。</x:v>
      </x:c>
      <x:c r="I22" s="77" t="str">
        <x:v>不能解释为更强控制、更高收益或路径数量更多。</x:v>
      </x:c>
      <x:c r="J22" s="77" t="str">
        <x:v>PEVC_PATH_COMPLEXITY</x:v>
      </x:c>
      <x:c r="K22" s="77" t="str">
        <x:v>检查间接边是否属于确认PE/VC而非普通主体。</x:v>
      </x:c>
      <x:c r="L22" s="77" t="str">
        <x:v>CANDIDATE_DEFINED_NOT_COMPUTED</x:v>
      </x:c>
    </x:row>
    <x:row r="23" ht="92" customHeight="1">
      <x:c r="A23" s="90" t="str">
        <x:v>CV019</x:v>
      </x:c>
      <x:c r="B23" s="90" t="str">
        <x:v>confirmed_pevc_entry_method_diversity</x:v>
      </x:c>
      <x:c r="C23" s="94" t="str">
        <x:v>investment_paths.company_id; investment_paths.investor_entity_id; investment_paths.entry_method; investment_paths.standardized_path_status; entities.standardized_pevc_status</x:v>
      </x:c>
      <x:c r="D23" s="77" t="str">
        <x:v>COUNT(DISTINCT 非空entry_method)限确认PE/VC路径。</x:v>
      </x:c>
      <x:c r="E23" s="77" t="str">
        <x:v>主体身份和路径进入方式覆盖充分。</x:v>
      </x:c>
      <x:c r="F23" s="98" t="str">
        <x:v>存在PE/VC但全部进入方式缺失时为null；路径覆盖不足时为null。</x:v>
      </x:c>
      <x:c r="G23" s="98" t="str">
        <x:v>无确认PE/VC且复核完整时为0。</x:v>
      </x:c>
      <x:c r="H23" s="77" t="str">
        <x:v>数值越大表示已确认进入方式种类更多。</x:v>
      </x:c>
      <x:c r="I23" s="77" t="str">
        <x:v>不代表投资轮次、金额或路径深度。</x:v>
      </x:c>
      <x:c r="J23" s="77" t="str">
        <x:v>PEVC_ENTRY_METHOD</x:v>
      </x:c>
      <x:c r="K23" s="77" t="str">
        <x:v>评估entry_method空值是否造成系统性低估。</x:v>
      </x:c>
      <x:c r="L23" s="77" t="str">
        <x:v>CANDIDATE_DEFINED_NOT_COMPUTED</x:v>
      </x:c>
    </x:row>
    <x:row r="24" ht="92" customHeight="1">
      <x:c r="A24" s="90" t="str">
        <x:v>CV020</x:v>
      </x:c>
      <x:c r="B24" s="90" t="str">
        <x:v>unique_direct_legal_entity_count</x:v>
      </x:c>
      <x:c r="C24" s="94" t="str">
        <x:v>companies.unique_direct_legal_entity_count; entities.entity_id; entities.canonical_entity_id; investment_paths.direct_indirect</x:v>
      </x:c>
      <x:c r="D24" s="77" t="str">
        <x:v>读取公司层冻结值，并以主体/路径明细复核。</x:v>
      </x:c>
      <x:c r="E24" s="77" t="str">
        <x:v>主体去重规则稳定且公司归属可核验。</x:v>
      </x:c>
      <x:c r="F24" s="98" t="str">
        <x:v>无法逐主体复算时为null。</x:v>
      </x:c>
      <x:c r="G24" s="98" t="str">
        <x:v>完整复核且确无直接参与主体时才允许0。</x:v>
      </x:c>
      <x:c r="H24" s="77" t="str">
        <x:v>数值越大表示直接参与法律主体更多。</x:v>
      </x:c>
      <x:c r="I24" s="77" t="str">
        <x:v>不是股东人数、投资体系数或当前股东数量。</x:v>
      </x:c>
      <x:c r="J24" s="77" t="str">
        <x:v>INVESTOR_STRUCTURE</x:v>
      </x:c>
      <x:c r="K24" s="77" t="str">
        <x:v>核对issuer、自然而人和重复主体是否在统一范围。</x:v>
      </x:c>
      <x:c r="L24" s="77" t="str">
        <x:v>CANDIDATE_DEFINED_NOT_COMPUTED</x:v>
      </x:c>
    </x:row>
    <x:row r="25" ht="92" customHeight="1">
      <x:c r="A25" s="90" t="str">
        <x:v>CV021</x:v>
      </x:c>
      <x:c r="B25" s="90" t="str">
        <x:v>financing_investor_legal_entity_count</x:v>
      </x:c>
      <x:c r="C25" s="94" t="str">
        <x:v>financing_events.event_id; financing_events.financing_round_flag; transactions.event_id; transaction_parties.transaction_id; transaction_parties.entity_id; transaction_parties.entity_role_standardized; entities.canonical_entity_id</x:v>
      </x:c>
      <x:c r="D25" s="77" t="str">
        <x:v>连接融资轮→交易→INVESTOR，按canonical_entity_id优先去重。</x:v>
      </x:c>
      <x:c r="E25" s="77" t="str">
        <x:v>融资交易的party覆盖和实体映射完整。</x:v>
      </x:c>
      <x:c r="F25" s="98" t="str">
        <x:v>链接或角色覆盖不足时为null。</x:v>
      </x:c>
      <x:c r="G25" s="98" t="str">
        <x:v>完整复核且无融资轮时为0；未知投资方不得记0。</x:v>
      </x:c>
      <x:c r="H25" s="77" t="str">
        <x:v>表示参与融资交易的可核验法律主体广度。</x:v>
      </x:c>
      <x:c r="I25" s="77" t="str">
        <x:v>不等于融资金额贡献者数量，也不包含无法识别主体。</x:v>
      </x:c>
      <x:c r="J25" s="77" t="str">
        <x:v>FIN_INVESTOR_BREADTH</x:v>
      </x:c>
      <x:c r="K25" s="77" t="str">
        <x:v>计算party链接覆盖和主体去重差异。</x:v>
      </x:c>
      <x:c r="L25" s="77" t="str">
        <x:v>CANDIDATE_DEFINED_NOT_COMPUTED</x:v>
      </x:c>
    </x:row>
    <x:row r="26" ht="92" customHeight="1">
      <x:c r="A26" s="90" t="str">
        <x:v>CV022</x:v>
      </x:c>
      <x:c r="B26" s="90" t="str">
        <x:v>financing_investors_per_round</x:v>
      </x:c>
      <x:c r="C26" s="94" t="str">
        <x:v>companies.financing_round_count; transaction_parties.entity_id; transaction_parties.entity_role_standardized; entities.canonical_entity_id</x:v>
      </x:c>
      <x:c r="D26" s="77" t="str">
        <x:v>financing_investor_legal_entity_count/financing_round_count。</x:v>
      </x:c>
      <x:c r="E26" s="77" t="str">
        <x:v>投资方计数非null且融资轮数&gt;0。</x:v>
      </x:c>
      <x:c r="F26" s="98" t="str">
        <x:v>融资轮数为0或投资方计数不可核验时为null。</x:v>
      </x:c>
      <x:c r="G26" s="98" t="str">
        <x:v>不把0轮公司的比率写成0；若分子明确0且分母&gt;0则可为0。</x:v>
      </x:c>
      <x:c r="H26" s="77" t="str">
        <x:v>较高值表示每轮对应的去重投资方法律主体更多。</x:v>
      </x:c>
      <x:c r="I26" s="77" t="str">
        <x:v>由于投资方可能跨轮重复，该比率不是单轮平均新增投资者数。</x:v>
      </x:c>
      <x:c r="J26" s="77" t="str">
        <x:v>FIN_INVESTOR_BREADTH</x:v>
      </x:c>
      <x:c r="K26" s="77" t="str">
        <x:v>检查跨轮重复主体对解释的影响。</x:v>
      </x:c>
      <x:c r="L26" s="77" t="str">
        <x:v>CANDIDATE_DEFINED_NOT_COMPUTED</x:v>
      </x:c>
    </x:row>
    <x:row r="27" ht="92" customHeight="1">
      <x:c r="A27" s="90" t="str">
        <x:v>CV023</x:v>
      </x:c>
      <x:c r="B27" s="90" t="str">
        <x:v>financing_method_diversity</x:v>
      </x:c>
      <x:c r="C27" s="94" t="str">
        <x:v>transactions.event_id; transactions.transaction_type_standardized; transactions.entry_method; financing_events.financing_round_flag</x:v>
      </x:c>
      <x:c r="D27" s="77" t="str">
        <x:v>COUNT(DISTINCT 融资交易组成的transaction_type_standardized)。</x:v>
      </x:c>
      <x:c r="E27" s="77" t="str">
        <x:v>融资交易组成与融资事件链接完整。</x:v>
      </x:c>
      <x:c r="F27" s="98" t="str">
        <x:v>交易组成覆盖不足时为null。</x:v>
      </x:c>
      <x:c r="G27" s="98" t="str">
        <x:v>完整复核且无融资轮时为0。</x:v>
      </x:c>
      <x:c r="H27" s="77" t="str">
        <x:v>数值越大表示采用的标准化融资方式种类更多。</x:v>
      </x:c>
      <x:c r="I27" s="77" t="str">
        <x:v>不等于融资轮数，也不反映哪种方式更优。</x:v>
      </x:c>
      <x:c r="J27" s="77" t="str">
        <x:v>FINANCING_METHOD</x:v>
      </x:c>
      <x:c r="K27" s="77" t="str">
        <x:v>处理一个事件含多个交易组成的去重。</x:v>
      </x:c>
      <x:c r="L27" s="77" t="str">
        <x:v>CANDIDATE_DEFINED_NOT_COMPUTED</x:v>
      </x:c>
    </x:row>
    <x:row r="28" ht="92" customHeight="1">
      <x:c r="A28" s="90" t="str">
        <x:v>CV024</x:v>
      </x:c>
      <x:c r="B28" s="90" t="str">
        <x:v>equity_transfer_transaction_count</x:v>
      </x:c>
      <x:c r="C28" s="94" t="str">
        <x:v>transactions.transaction_type_standardized; transactions.event_id; financing_events.company_id</x:v>
      </x:c>
      <x:c r="D28" s="77" t="str">
        <x:v>COUNT(公司内EQUITY_TRANSFER交易记录)。</x:v>
      </x:c>
      <x:c r="E28" s="77" t="str">
        <x:v>交易拆分口径一致且事件—公司映射完整。</x:v>
      </x:c>
      <x:c r="F28" s="98" t="str">
        <x:v>交易覆盖不足时为null。</x:v>
      </x:c>
      <x:c r="G28" s="98" t="str">
        <x:v>完整复核且无股权转让交易时为0。</x:v>
      </x:c>
      <x:c r="H28" s="77" t="str">
        <x:v>数值越大表示记录到的股权转让交易更多。</x:v>
      </x:c>
      <x:c r="I28" s="77" t="str">
        <x:v>不等于退出次数、投资者数量或发行人融资。</x:v>
      </x:c>
      <x:c r="J28" s="77" t="str">
        <x:v>SECONDARY_ACTIVITY</x:v>
      </x:c>
      <x:c r="K28" s="77" t="str">
        <x:v>检查复合事件拆分和聚合披露差异。</x:v>
      </x:c>
      <x:c r="L28" s="77" t="str">
        <x:v>CANDIDATE_DEFINED_NOT_COMPUTED</x:v>
      </x:c>
    </x:row>
    <x:row r="29" ht="92" customHeight="1">
      <x:c r="A29" s="90" t="str">
        <x:v>CV025</x:v>
      </x:c>
      <x:c r="B29" s="90" t="str">
        <x:v>equity_transfer_amount_lower_bound_10k_cny</x:v>
      </x:c>
      <x:c r="C29" s="94" t="str">
        <x:v>companies.equity_transfer_amount_lower_bound_10k_cny; companies.equity_transfer_amount_status</x:v>
      </x:c>
      <x:c r="D29" s="77" t="str">
        <x:v>读取公司层冻结值，并与转让金额状态联用。</x:v>
      </x:c>
      <x:c r="E29" s="77" t="str">
        <x:v>金额状态允许数值且转让交易边界已复核。</x:v>
      </x:c>
      <x:c r="F29" s="98" t="str">
        <x:v>未披露、不可计算或不适用时按状态决定null；不得统一补0。</x:v>
      </x:c>
      <x:c r="G29" s="98" t="str">
        <x:v>只有明确无对价/明确零对价且状态支持时为0。</x:v>
      </x:c>
      <x:c r="H29" s="77" t="str">
        <x:v>表示可核验的存量股权交易对价下限。</x:v>
      </x:c>
      <x:c r="I29" s="77" t="str">
        <x:v>不是发行人资金流入，不能与融资金额相加。</x:v>
      </x:c>
      <x:c r="J29" s="77" t="str">
        <x:v>SECONDARY_AMOUNT</x:v>
      </x:c>
      <x:c r="K29" s="77" t="str">
        <x:v>区分NOT_APPLICABLE、缺失和明确0。</x:v>
      </x:c>
      <x:c r="L29" s="77" t="str">
        <x:v>CANDIDATE_DEFINED_NOT_COMPUTED</x:v>
      </x:c>
    </x:row>
    <x:row r="30" ht="92" customHeight="1">
      <x:c r="A30" s="90" t="str">
        <x:v>CV026</x:v>
      </x:c>
      <x:c r="B30" s="90" t="str">
        <x:v>secondary_to_primary_amount_ratio</x:v>
      </x:c>
      <x:c r="C30" s="94" t="str">
        <x:v>companies.equity_transfer_amount_lower_bound_10k_cny; companies.equity_transfer_amount_status; companies.financing_amount_lower_bound_10k_cny; companies.financing_amount_status</x:v>
      </x:c>
      <x:c r="D30" s="77" t="str">
        <x:v>equity_transfer_amount_lower_bound/financing_amount_lower_bound。</x:v>
      </x:c>
      <x:c r="E30" s="77" t="str">
        <x:v>分子分母均非null且融资金额&gt;0；同时报告双方金额状态。</x:v>
      </x:c>
      <x:c r="F30" s="98" t="str">
        <x:v>任一金额不可用、融资金额为0或口径不可比时为null。</x:v>
      </x:c>
      <x:c r="G30" s="98" t="str">
        <x:v>明确转让金额0且融资金额&gt;0时比率为0。</x:v>
      </x:c>
      <x:c r="H30" s="77" t="str">
        <x:v>较高值表示可核验转让对价相对融资金额更大。</x:v>
      </x:c>
      <x:c r="I30" s="77" t="str">
        <x:v>不是退出倍数、资本回报率或企业融资效率；上下限比率可能偏误。</x:v>
      </x:c>
      <x:c r="J30" s="77" t="str">
        <x:v>SECONDARY_AMOUNT</x:v>
      </x:c>
      <x:c r="K30" s="77" t="str">
        <x:v>检查上下限状态组合与分母有效性。</x:v>
      </x:c>
      <x:c r="L30" s="77" t="str">
        <x:v>CANDIDATE_DEFINED_NOT_COMPUTED</x:v>
      </x:c>
    </x:row>
    <x:row r="31" ht="92" customHeight="1">
      <x:c r="A31" s="90" t="str">
        <x:v>CV027</x:v>
      </x:c>
      <x:c r="B31" s="90" t="str">
        <x:v>known_financing_round_amount_count</x:v>
      </x:c>
      <x:c r="C31" s="94" t="str">
        <x:v>financing_events.company_id; financing_events.financing_round_flag; financing_events.financing_amount_10k_cny; financing_events.financing_amount_status</x:v>
      </x:c>
      <x:c r="D31" s="77" t="str">
        <x:v>COUNT(融资轮中金额非null记录)。</x:v>
      </x:c>
      <x:c r="E31" s="77" t="str">
        <x:v>融资轮识别已完成。</x:v>
      </x:c>
      <x:c r="F31" s="98" t="str">
        <x:v>若融资轮识别本身未完成则为null。</x:v>
      </x:c>
      <x:c r="G31" s="98" t="str">
        <x:v>完整复核且所有融资轮金额均未知时为0。</x:v>
      </x:c>
      <x:c r="H31" s="77" t="str">
        <x:v>数值表示可用于轮次金额计算的观察数。</x:v>
      </x:c>
      <x:c r="I31" s="77" t="str">
        <x:v>不是金额披露质量的唯一评价，也不是融资轮总数。</x:v>
      </x:c>
      <x:c r="J31" s="77" t="str">
        <x:v>AMOUNT_COVERAGE</x:v>
      </x:c>
      <x:c r="K31" s="77" t="str">
        <x:v>与融资轮总数和金额状态交叉检查。</x:v>
      </x:c>
      <x:c r="L31" s="77" t="str">
        <x:v>CANDIDATE_DEFINED_NOT_COMPUTED</x:v>
      </x:c>
    </x:row>
    <x:row r="32" ht="92" customHeight="1">
      <x:c r="A32" s="90" t="str">
        <x:v>CV028</x:v>
      </x:c>
      <x:c r="B32" s="90" t="str">
        <x:v>financing_round_amount_coverage_rate</x:v>
      </x:c>
      <x:c r="C32" s="94" t="str">
        <x:v>financing_events.financing_round_flag; financing_events.financing_amount_10k_cny; companies.financing_round_count</x:v>
      </x:c>
      <x:c r="D32" s="77" t="str">
        <x:v>known_financing_round_amount_count/financing_round_count。</x:v>
      </x:c>
      <x:c r="E32" s="77" t="str">
        <x:v>融资轮数&gt;0且轮次识别已完成。</x:v>
      </x:c>
      <x:c r="F32" s="98" t="str">
        <x:v>融资轮数为0时为null（不适用），轮次识别不足时为null。</x:v>
      </x:c>
      <x:c r="G32" s="98" t="str">
        <x:v>有融资轮但全部金额未知且复核完整时为0。</x:v>
      </x:c>
      <x:c r="H32" s="77" t="str">
        <x:v>越接近1表示轮次金额覆盖越完整。</x:v>
      </x:c>
      <x:c r="I32" s="77" t="str">
        <x:v>不是融资金额准确率，也不保证已知金额是完整披露。</x:v>
      </x:c>
      <x:c r="J32" s="77" t="str">
        <x:v>AMOUNT_COVERAGE</x:v>
      </x:c>
      <x:c r="K32" s="77" t="str">
        <x:v>明确0轮公司不进入分母。</x:v>
      </x:c>
      <x:c r="L32" s="77" t="str">
        <x:v>CANDIDATE_DEFINED_NOT_COMPUTED</x:v>
      </x:c>
    </x:row>
    <x:row r="33" ht="92" customHeight="1">
      <x:c r="A33" s="90" t="str">
        <x:v>CV029</x:v>
      </x:c>
      <x:c r="B33" s="90" t="str">
        <x:v>financing_round_date_coverage_rate</x:v>
      </x:c>
      <x:c r="C33" s="94" t="str">
        <x:v>financing_events.financing_round_flag; financing_events.event_date_standardized; financing_events.date_precision; companies.financing_round_count</x:v>
      </x:c>
      <x:c r="D33" s="77" t="str">
        <x:v>COUNT(date_precision in {DAY,MONTH})/financing_round_count。</x:v>
      </x:c>
      <x:c r="E33" s="77" t="str">
        <x:v>融资轮数&gt;0且轮次识别完成。</x:v>
      </x:c>
      <x:c r="F33" s="98" t="str">
        <x:v>融资轮数为0时为null；日期状态不明时不得当作可用。</x:v>
      </x:c>
      <x:c r="G33" s="98" t="str">
        <x:v>有融资轮但全部日期UNKNOWN且复核完整时为0。</x:v>
      </x:c>
      <x:c r="H33" s="77" t="str">
        <x:v>越接近1表示融资时序变量的数据基础越完整。</x:v>
      </x:c>
      <x:c r="I33" s="77" t="str">
        <x:v>MONTH精度不等于DAY精度，覆盖率高也不代表日期精确到日。</x:v>
      </x:c>
      <x:c r="J33" s="77" t="str">
        <x:v>DATE_COVERAGE</x:v>
      </x:c>
      <x:c r="K33" s="77" t="str">
        <x:v>同时分列DAY与MONTH精度数量。</x:v>
      </x:c>
      <x:c r="L33" s="77" t="str">
        <x:v>CANDIDATE_DEFINED_NOT_COMPUTED</x:v>
      </x:c>
    </x:row>
    <x:row r="34" ht="92" customHeight="1">
      <x:c r="A34" s="90" t="str">
        <x:v>CV030</x:v>
      </x:c>
      <x:c r="B34" s="90" t="str">
        <x:v>calculated_round_amount_share</x:v>
      </x:c>
      <x:c r="C34" s="94" t="str">
        <x:v>financing_events.financing_round_flag; financing_events.financing_amount_10k_cny; financing_events.amount_source_type</x:v>
      </x:c>
      <x:c r="D34" s="77" t="str">
        <x:v>COUNT(已知金额且CALCULATED)/known_financing_round_amount_count。</x:v>
      </x:c>
      <x:c r="E34" s="77" t="str">
        <x:v>至少1个已知金额轮次且来源类型已标注。</x:v>
      </x:c>
      <x:c r="F34" s="98" t="str">
        <x:v>没有已知金额轮次或来源类型覆盖不足时为null。</x:v>
      </x:c>
      <x:c r="G34" s="98" t="str">
        <x:v>已知金额均为DISCLOSED且来源标注完整时为0。</x:v>
      </x:c>
      <x:c r="H34" s="77" t="str">
        <x:v>较高值表示更多轮次金额依赖可复核计算。</x:v>
      </x:c>
      <x:c r="I34" s="77" t="str">
        <x:v>不代表计算值质量低；CALCULATED仍须有证据和公式。</x:v>
      </x:c>
      <x:c r="J34" s="77" t="str">
        <x:v>AMOUNT_SOURCE</x:v>
      </x:c>
      <x:c r="K34" s="77" t="str">
        <x:v>复核DISCLOSED+CALCULATED是否覆盖全部已知金额轮。</x:v>
      </x:c>
      <x:c r="L34" s="77" t="str">
        <x:v>CANDIDATE_DEFINED_NOT_COMPUTED</x:v>
      </x:c>
    </x:row>
    <x:row r="35" ht="92" customHeight="1">
      <x:c r="A35" s="90" t="str">
        <x:v>CV031</x:v>
      </x:c>
      <x:c r="B35" s="90" t="str">
        <x:v>evidence_records_per_financing_round</x:v>
      </x:c>
      <x:c r="C35" s="94" t="str">
        <x:v>evidence.evidence_id; evidence.company_id; evidence.event_id; financing_events.financing_round_flag; companies.financing_round_count</x:v>
      </x:c>
      <x:c r="D35" s="77" t="str">
        <x:v>COUNT(DISTINCT 关联融资轮的evidence_id)/financing_round_count。</x:v>
      </x:c>
      <x:c r="E35" s="77" t="str">
        <x:v>融资轮数&gt;0且证据链接规则一致。</x:v>
      </x:c>
      <x:c r="F35" s="98" t="str">
        <x:v>融资轮数为0或证据链接覆盖无法判断时为null。</x:v>
      </x:c>
      <x:c r="G35" s="98" t="str">
        <x:v>有融资轮且确认没有事件级证据链接时可为0，但应触发警告。</x:v>
      </x:c>
      <x:c r="H35" s="77" t="str">
        <x:v>数值表示结构化证据记录密度。</x:v>
      </x:c>
      <x:c r="I35" s="77" t="str">
        <x:v>证据条数多不等于披露更真实或研究质量更高。</x:v>
      </x:c>
      <x:c r="J35" s="77" t="str">
        <x:v>EVIDENCE_DENSITY</x:v>
      </x:c>
      <x:c r="K35" s="77" t="str">
        <x:v>检查同一证据重复链接和公司级证据遗漏。</x:v>
      </x:c>
      <x:c r="L35" s="77" t="str">
        <x:v>CANDIDATE_DEFINED_NOT_COMPUTED</x:v>
      </x:c>
    </x:row>
    <x:row r="36" ht="92" customHeight="1">
      <x:c r="A36" s="90" t="str">
        <x:v>CV032</x:v>
      </x:c>
      <x:c r="B36" s="90" t="str">
        <x:v>disclosure_limitation_flag</x:v>
      </x:c>
      <x:c r="C36" s="94" t="str">
        <x:v>companies.disclosure_limitation; companies.company_review_status</x:v>
      </x:c>
      <x:c r="D36" s="77" t="str">
        <x:v>最终复核状态下，disclosure_limitation非空为1，明确无限制说明为0。</x:v>
      </x:c>
      <x:c r="E36" s="77" t="str">
        <x:v>company_review_status=FINAL_APPROVED。</x:v>
      </x:c>
      <x:c r="F36" s="98" t="str">
        <x:v>公司复核未完成时为null。</x:v>
      </x:c>
      <x:c r="G36" s="98" t="str">
        <x:v>0只表示最终复核后没有登记公司级限制，不表示披露绝对完整。</x:v>
      </x:c>
      <x:c r="H36" s="77" t="str">
        <x:v>1表示至少存在一项需要随结果报告的公司级披露限制。</x:v>
      </x:c>
      <x:c r="I36" s="77" t="str">
        <x:v>不能作为公司治理差或信息不透明的直接结论。</x:v>
      </x:c>
      <x:c r="J36" s="77" t="str">
        <x:v>DISCLOSURE_LIMIT</x:v>
      </x:c>
      <x:c r="K36" s="77" t="str">
        <x:v>检查限制文本是否结构化、是否所有公司均为1。</x:v>
      </x:c>
      <x:c r="L36" s="77" t="str">
        <x:v>CANDIDATE_DEFINED_NOT_COMPUTED</x:v>
      </x:c>
    </x:row>
  </x:sheetData>
  <x:mergeCells>
    <x:mergeCell ref="A1:L1"/>
    <x:mergeCell ref="A2:L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6" hidden="0" customWidth="1"/>
    <x:col min="2" max="2" width="22" hidden="0" customWidth="1"/>
    <x:col min="3" max="3" width="34" hidden="0" customWidth="1"/>
    <x:col min="4" max="4" width="32" hidden="0" customWidth="1"/>
    <x:col min="5" max="5" width="62" hidden="0" customWidth="1"/>
    <x:col min="6" max="6" width="28" hidden="0" customWidth="1"/>
    <x:col min="7" max="7" width="60" hidden="0" customWidth="1"/>
    <x:col min="8" max="8" width="64" hidden="0" customWidth="1"/>
    <x:col min="9" max="9" width="16" hidden="0" customWidth="1"/>
  </x:cols>
  <x:sheetData>
    <x:row r="1" ht="32" customHeight="1">
      <x:c r="A1" s="3" t="str">
        <x:v>Week 8 Schema来源字段映射</x:v>
      </x:c>
      <x:c r="B1" s="3"/>
      <x:c r="C1" s="3"/>
      <x:c r="D1" s="3"/>
      <x:c r="E1" s="3"/>
      <x:c r="F1" s="3"/>
      <x:c r="G1" s="3"/>
      <x:c r="H1" s="3"/>
      <x:c r="I1" s="3"/>
    </x:row>
    <x:row r="2" ht="34" customHeight="1">
      <x:c r="A2" s="7" t="str">
        <x:v>列出第三阶段变量实际引用的标准字段；所有映射已按Week 8最终Schema自动校验。</x:v>
      </x:c>
      <x:c r="B2" s="7"/>
      <x:c r="C2" s="7"/>
      <x:c r="D2" s="7"/>
      <x:c r="E2" s="7"/>
      <x:c r="F2" s="7"/>
      <x:c r="G2" s="7"/>
      <x:c r="H2" s="7"/>
      <x:c r="I2" s="7"/>
    </x:row>
    <x:row r="3">
      <x:c r="A3" s="11"/>
      <x:c r="B3" s="11"/>
      <x:c r="C3" s="11"/>
      <x:c r="D3" s="11"/>
      <x:c r="E3" s="11"/>
      <x:c r="F3" s="11"/>
      <x:c r="G3" s="11"/>
      <x:c r="H3" s="11"/>
      <x:c r="I3" s="11"/>
    </x:row>
    <x:row r="4" ht="34" customHeight="1">
      <x:c r="A4" s="68" t="str">
        <x:v>完整字段名</x:v>
      </x:c>
      <x:c r="B4" s="69" t="str">
        <x:v>标准表</x:v>
      </x:c>
      <x:c r="C4" s="69" t="str">
        <x:v>字段名</x:v>
      </x:c>
      <x:c r="D4" s="69" t="str">
        <x:v>字段中文名</x:v>
      </x:c>
      <x:c r="E4" s="69" t="str">
        <x:v>Schema定义</x:v>
      </x:c>
      <x:c r="F4" s="69" t="str">
        <x:v>来源类型</x:v>
      </x:c>
      <x:c r="G4" s="69" t="str">
        <x:v>Schema null规则</x:v>
      </x:c>
      <x:c r="H4" s="69" t="str">
        <x:v>被哪些候选变量使用</x:v>
      </x:c>
      <x:c r="I4" s="70" t="str">
        <x:v>映射有效</x:v>
      </x:c>
    </x:row>
    <x:row r="5" ht="70" customHeight="1">
      <x:c r="A5" s="111" t="str">
        <x:v>companies.company_review_status</x:v>
      </x:c>
      <x:c r="B5" s="111" t="str">
        <x:v>companies</x:v>
      </x:c>
      <x:c r="C5" s="111" t="str">
        <x:v>company_review_status</x:v>
      </x:c>
      <x:c r="D5" s="93" t="str">
        <x:v>公司复核状态</x:v>
      </x:c>
      <x:c r="E5" s="93" t="str">
        <x:v>公司级统一数据当前人工验收状态。</x:v>
      </x:c>
      <x:c r="F5" s="93" t="str">
        <x:v>RESEARCH_JUDGMENT</x:v>
      </x:c>
      <x:c r="G5" s="93" t="str">
        <x:v>不得为空。</x:v>
      </x:c>
      <x:c r="H5" s="93" t="str">
        <x:v>CV032</x:v>
      </x:c>
      <x:c r="I5" s="109" t="b">
        <x:v>1</x:v>
      </x:c>
    </x:row>
    <x:row r="6" ht="70" customHeight="1">
      <x:c r="A6" s="112" t="str">
        <x:v>companies.confirmed_pevc_legal_entity_count</x:v>
      </x:c>
      <x:c r="B6" s="112" t="str">
        <x:v>companies</x:v>
      </x:c>
      <x:c r="C6" s="112" t="str">
        <x:v>confirmed_pevc_legal_entity_count</x:v>
      </x:c>
      <x:c r="D6" s="94" t="str">
        <x:v>确认PE/VC法律主体数</x:v>
      </x:c>
      <x:c r="E6" s="94" t="str">
        <x:v>最终标准化状态为PEVC_CONFIRMED的法律主体记录数。</x:v>
      </x:c>
      <x:c r="F6" s="94" t="str">
        <x:v>CALCULATED, RESEARCH_JUDGMENT</x:v>
      </x:c>
      <x:c r="G6" s="94" t="str">
        <x:v>无可核验主体明细时可为null。</x:v>
      </x:c>
      <x:c r="H6" s="94" t="str">
        <x:v>CV011, CV012, CV013</x:v>
      </x:c>
      <x:c r="I6" s="110" t="b">
        <x:v>1</x:v>
      </x:c>
    </x:row>
    <x:row r="7" ht="70" customHeight="1">
      <x:c r="A7" s="112" t="str">
        <x:v>companies.disclosure_limitation</x:v>
      </x:c>
      <x:c r="B7" s="112" t="str">
        <x:v>companies</x:v>
      </x:c>
      <x:c r="C7" s="112" t="str">
        <x:v>disclosure_limitation</x:v>
      </x:c>
      <x:c r="D7" s="94" t="str">
        <x:v>披露限制</x:v>
      </x:c>
      <x:c r="E7" s="94" t="str">
        <x:v>公司级统计无法完整重建时的限制说明。</x:v>
      </x:c>
      <x:c r="F7" s="94" t="str">
        <x:v>STANDARDIZED</x:v>
      </x:c>
      <x:c r="G7" s="94" t="str">
        <x:v>无特殊限制可为空。</x:v>
      </x:c>
      <x:c r="H7" s="94" t="str">
        <x:v>CV032</x:v>
      </x:c>
      <x:c r="I7" s="110" t="b">
        <x:v>1</x:v>
      </x:c>
    </x:row>
    <x:row r="8" ht="70" customHeight="1">
      <x:c r="A8" s="112" t="str">
        <x:v>companies.equity_transfer_amount_lower_bound_10k_cny</x:v>
      </x:c>
      <x:c r="B8" s="112" t="str">
        <x:v>companies</x:v>
      </x:c>
      <x:c r="C8" s="112" t="str">
        <x:v>equity_transfer_amount_lower_bound_10k_cny</x:v>
      </x:c>
      <x:c r="D8" s="94" t="str">
        <x:v>可核验股权转让对价下限（万元人民币）</x:v>
      </x:c>
      <x:c r="E8" s="94" t="str">
        <x:v>存量股权转让对价的可核验下限；不计入发行人融资。</x:v>
      </x:c>
      <x:c r="F8" s="94" t="str">
        <x:v>STANDARDIZED, CALCULATED</x:v>
      </x:c>
      <x:c r="G8" s="94" t="str">
        <x:v>未披露/不可计算时为null；明确零对价才允许0。</x:v>
      </x:c>
      <x:c r="H8" s="94" t="str">
        <x:v>CV025, CV026</x:v>
      </x:c>
      <x:c r="I8" s="110" t="b">
        <x:v>1</x:v>
      </x:c>
    </x:row>
    <x:row r="9" ht="70" customHeight="1">
      <x:c r="A9" s="112" t="str">
        <x:v>companies.equity_transfer_amount_status</x:v>
      </x:c>
      <x:c r="B9" s="112" t="str">
        <x:v>companies</x:v>
      </x:c>
      <x:c r="C9" s="112" t="str">
        <x:v>equity_transfer_amount_status</x:v>
      </x:c>
      <x:c r="D9" s="94" t="str">
        <x:v>转让金额状态</x:v>
      </x:c>
      <x:c r="E9" s="94" t="str">
        <x:v>描述股权转让对价的披露/可计算边界。</x:v>
      </x:c>
      <x:c r="F9" s="94" t="str">
        <x:v>STANDARDIZED</x:v>
      </x:c>
      <x:c r="G9" s="94" t="str">
        <x:v>不得为空。</x:v>
      </x:c>
      <x:c r="H9" s="94" t="str">
        <x:v>CV025, CV026</x:v>
      </x:c>
      <x:c r="I9" s="110" t="b">
        <x:v>1</x:v>
      </x:c>
    </x:row>
    <x:row r="10" ht="70" customHeight="1">
      <x:c r="A10" s="112" t="str">
        <x:v>companies.financing_amount_lower_bound_10k_cny</x:v>
      </x:c>
      <x:c r="B10" s="112" t="str">
        <x:v>companies</x:v>
      </x:c>
      <x:c r="C10" s="112" t="str">
        <x:v>financing_amount_lower_bound_10k_cny</x:v>
      </x:c>
      <x:c r="D10" s="94" t="str">
        <x:v>可核验融资金额下限（万元人民币）</x:v>
      </x:c>
      <x:c r="E10" s="94" t="str">
        <x:v>目前能够由原文披露或明确计算得到的发行人融资金额下限。</x:v>
      </x:c>
      <x:c r="F10" s="94" t="str">
        <x:v>STANDARDIZED, CALCULATED</x:v>
      </x:c>
      <x:c r="G10" s="94" t="str">
        <x:v>未知/无法完整还原时为null，不得填0。</x:v>
      </x:c>
      <x:c r="H10" s="94" t="str">
        <x:v>CV003, CV004, CV026</x:v>
      </x:c>
      <x:c r="I10" s="110" t="b">
        <x:v>1</x:v>
      </x:c>
    </x:row>
    <x:row r="11" ht="70" customHeight="1">
      <x:c r="A11" s="112" t="str">
        <x:v>companies.financing_amount_status</x:v>
      </x:c>
      <x:c r="B11" s="112" t="str">
        <x:v>companies</x:v>
      </x:c>
      <x:c r="C11" s="112" t="str">
        <x:v>financing_amount_status</x:v>
      </x:c>
      <x:c r="D11" s="94" t="str">
        <x:v>融资金额状态</x:v>
      </x:c>
      <x:c r="E11" s="94" t="str">
        <x:v>描述company-level融资金额的披露/可计算边界。</x:v>
      </x:c>
      <x:c r="F11" s="94" t="str">
        <x:v>STANDARDIZED</x:v>
      </x:c>
      <x:c r="G11" s="94" t="str">
        <x:v>不得为空。</x:v>
      </x:c>
      <x:c r="H11" s="94" t="str">
        <x:v>CV003, CV004, CV026</x:v>
      </x:c>
      <x:c r="I11" s="110" t="b">
        <x:v>1</x:v>
      </x:c>
    </x:row>
    <x:row r="12" ht="70" customHeight="1">
      <x:c r="A12" s="112" t="str">
        <x:v>companies.financing_round_count</x:v>
      </x:c>
      <x:c r="B12" s="112" t="str">
        <x:v>companies</x:v>
      </x:c>
      <x:c r="C12" s="112" t="str">
        <x:v>financing_round_count</x:v>
      </x:c>
      <x:c r="D12" s="94" t="str">
        <x:v>统一融资轮次</x:v>
      </x:c>
      <x:c r="E12" s="94" t="str">
        <x:v>按Week7/Week8统一口径计入的直接股权融资轮次。</x:v>
      </x:c>
      <x:c r="F12" s="94" t="str">
        <x:v>RESEARCH_JUDGMENT</x:v>
      </x:c>
      <x:c r="G12" s="94" t="str">
        <x:v>不得为空；不得以历史事件数代替。</x:v>
      </x:c>
      <x:c r="H12" s="94" t="str">
        <x:v>CV001, CV002, CV022, CV028, CV029, CV031</x:v>
      </x:c>
      <x:c r="I12" s="110" t="b">
        <x:v>1</x:v>
      </x:c>
    </x:row>
    <x:row r="13" ht="70" customHeight="1">
      <x:c r="A13" s="112" t="str">
        <x:v>companies.unique_direct_legal_entity_count</x:v>
      </x:c>
      <x:c r="B13" s="112" t="str">
        <x:v>companies</x:v>
      </x:c>
      <x:c r="C13" s="112" t="str">
        <x:v>unique_direct_legal_entity_count</x:v>
      </x:c>
      <x:c r="D13" s="94" t="str">
        <x:v>直接法律主体数</x:v>
      </x:c>
      <x:c r="E13" s="94" t="str">
        <x:v>当前口径下公司级直接参与法律主体去重数。</x:v>
      </x:c>
      <x:c r="F13" s="94" t="str">
        <x:v>CALCULATED</x:v>
      </x:c>
      <x:c r="G13" s="94" t="str">
        <x:v>无法逐主体复算时可为null并说明限制。</x:v>
      </x:c>
      <x:c r="H13" s="94" t="str">
        <x:v>CV013, CV020</x:v>
      </x:c>
      <x:c r="I13" s="110" t="b">
        <x:v>1</x:v>
      </x:c>
    </x:row>
    <x:row r="14" ht="70" customHeight="1">
      <x:c r="A14" s="112" t="str">
        <x:v>entities.canonical_entity_id</x:v>
      </x:c>
      <x:c r="B14" s="112" t="str">
        <x:v>entities</x:v>
      </x:c>
      <x:c r="C14" s="112" t="str">
        <x:v>canonical_entity_id</x:v>
      </x:c>
      <x:c r="D14" s="94" t="str">
        <x:v>规范统一主体ID</x:v>
      </x:c>
      <x:c r="E14" s="94" t="str">
        <x:v>跨namespace存在已验收crosswalk后指向统一主体。</x:v>
      </x:c>
      <x:c r="F14" s="94" t="str">
        <x:v>STANDARDIZED</x:v>
      </x:c>
      <x:c r="G14" s="94" t="str">
        <x:v>无可靠crosswalk时必须为null。</x:v>
      </x:c>
      <x:c r="H14" s="94" t="str">
        <x:v>CV012, CV014, CV020, CV021, CV022</x:v>
      </x:c>
      <x:c r="I14" s="110" t="b">
        <x:v>1</x:v>
      </x:c>
    </x:row>
    <x:row r="15" ht="70" customHeight="1">
      <x:c r="A15" s="112" t="str">
        <x:v>entities.entity_id</x:v>
      </x:c>
      <x:c r="B15" s="112" t="str">
        <x:v>entities</x:v>
      </x:c>
      <x:c r="C15" s="112" t="str">
        <x:v>entity_id</x:v>
      </x:c>
      <x:c r="D15" s="94" t="str">
        <x:v>主体ID</x:v>
      </x:c>
      <x:c r="E15" s="94" t="str">
        <x:v>稳定主体标识；保留来源命名空间。</x:v>
      </x:c>
      <x:c r="F15" s="94" t="str">
        <x:v>STANDARDIZED</x:v>
      </x:c>
      <x:c r="G15" s="94" t="str">
        <x:v>不得为空。</x:v>
      </x:c>
      <x:c r="H15" s="94" t="str">
        <x:v>CV012, CV020</x:v>
      </x:c>
      <x:c r="I15" s="110" t="b">
        <x:v>1</x:v>
      </x:c>
    </x:row>
    <x:row r="16" ht="70" customHeight="1">
      <x:c r="A16" s="112" t="str">
        <x:v>entities.standardized_pevc_status</x:v>
      </x:c>
      <x:c r="B16" s="112" t="str">
        <x:v>entities</x:v>
      </x:c>
      <x:c r="C16" s="112" t="str">
        <x:v>standardized_pevc_status</x:v>
      </x:c>
      <x:c r="D16" s="94" t="str">
        <x:v>标准PE/VC状态</x:v>
      </x:c>
      <x:c r="E16" s="94" t="str">
        <x:v>最终统一口径下的PE/VC分类。</x:v>
      </x:c>
      <x:c r="F16" s="94" t="str">
        <x:v>RESEARCH_JUDGMENT</x:v>
      </x:c>
      <x:c r="G16" s="94" t="str">
        <x:v>无足够依据时保持UNRESOLVED/空并说明。</x:v>
      </x:c>
      <x:c r="H16" s="94" t="str">
        <x:v>CV011, CV012, CV014, CV015, CV016, CV017, CV018, CV019</x:v>
      </x:c>
      <x:c r="I16" s="110" t="b">
        <x:v>1</x:v>
      </x:c>
    </x:row>
    <x:row r="17" ht="70" customHeight="1">
      <x:c r="A17" s="112" t="str">
        <x:v>evidence.company_id</x:v>
      </x:c>
      <x:c r="B17" s="112" t="str">
        <x:v>evidence</x:v>
      </x:c>
      <x:c r="C17" s="112" t="str">
        <x:v>company_id</x:v>
      </x:c>
      <x:c r="D17" s="94" t="str">
        <x:v>公司ID</x:v>
      </x:c>
      <x:c r="E17" s="94" t="str">
        <x:v>证据所属公司。</x:v>
      </x:c>
      <x:c r="F17" s="94" t="str">
        <x:v>STANDARDIZED</x:v>
      </x:c>
      <x:c r="G17" s="94" t="str">
        <x:v>不得为空。</x:v>
      </x:c>
      <x:c r="H17" s="94" t="str">
        <x:v>CV031</x:v>
      </x:c>
      <x:c r="I17" s="110" t="b">
        <x:v>1</x:v>
      </x:c>
    </x:row>
    <x:row r="18" ht="70" customHeight="1">
      <x:c r="A18" s="112" t="str">
        <x:v>evidence.event_id</x:v>
      </x:c>
      <x:c r="B18" s="112" t="str">
        <x:v>evidence</x:v>
      </x:c>
      <x:c r="C18" s="112" t="str">
        <x:v>event_id</x:v>
      </x:c>
      <x:c r="D18" s="94" t="str">
        <x:v>事件ID</x:v>
      </x:c>
      <x:c r="E18" s="94" t="str">
        <x:v>证据主要支持的事件。</x:v>
      </x:c>
      <x:c r="F18" s="94" t="str">
        <x:v>STANDARDIZED</x:v>
      </x:c>
      <x:c r="G18" s="94" t="str">
        <x:v>非事件级证据可为空。</x:v>
      </x:c>
      <x:c r="H18" s="94" t="str">
        <x:v>CV031</x:v>
      </x:c>
      <x:c r="I18" s="110" t="b">
        <x:v>1</x:v>
      </x:c>
    </x:row>
    <x:row r="19" ht="70" customHeight="1">
      <x:c r="A19" s="112" t="str">
        <x:v>evidence.evidence_id</x:v>
      </x:c>
      <x:c r="B19" s="112" t="str">
        <x:v>evidence</x:v>
      </x:c>
      <x:c r="C19" s="112" t="str">
        <x:v>evidence_id</x:v>
      </x:c>
      <x:c r="D19" s="94" t="str">
        <x:v>证据ID</x:v>
      </x:c>
      <x:c r="E19" s="94" t="str">
        <x:v>证据稳定主键。</x:v>
      </x:c>
      <x:c r="F19" s="94" t="str">
        <x:v>STANDARDIZED</x:v>
      </x:c>
      <x:c r="G19" s="94" t="str">
        <x:v>不得为空。</x:v>
      </x:c>
      <x:c r="H19" s="94" t="str">
        <x:v>CV031</x:v>
      </x:c>
      <x:c r="I19" s="110" t="b">
        <x:v>1</x:v>
      </x:c>
    </x:row>
    <x:row r="20" ht="70" customHeight="1">
      <x:c r="A20" s="112" t="str">
        <x:v>financing_events.amount_source_type</x:v>
      </x:c>
      <x:c r="B20" s="112" t="str">
        <x:v>financing_events</x:v>
      </x:c>
      <x:c r="C20" s="112" t="str">
        <x:v>amount_source_type</x:v>
      </x:c>
      <x:c r="D20" s="94" t="str">
        <x:v>金额来源类型</x:v>
      </x:c>
      <x:c r="E20" s="94" t="str">
        <x:v>事件融资金额属于原文披露、标准化或计算。</x:v>
      </x:c>
      <x:c r="F20" s="94" t="str">
        <x:v>STANDARDIZED</x:v>
      </x:c>
      <x:c r="G20" s="94" t="str">
        <x:v>金额为null且NOT_APPLICABLE时可为空。</x:v>
      </x:c>
      <x:c r="H20" s="94" t="str">
        <x:v>CV030</x:v>
      </x:c>
      <x:c r="I20" s="110" t="b">
        <x:v>1</x:v>
      </x:c>
    </x:row>
    <x:row r="21" ht="70" customHeight="1">
      <x:c r="A21" s="112" t="str">
        <x:v>financing_events.company_id</x:v>
      </x:c>
      <x:c r="B21" s="112" t="str">
        <x:v>financing_events</x:v>
      </x:c>
      <x:c r="C21" s="112" t="str">
        <x:v>company_id</x:v>
      </x:c>
      <x:c r="D21" s="94" t="str">
        <x:v>公司ID</x:v>
      </x:c>
      <x:c r="E21" s="94" t="str">
        <x:v>事件所属公司。</x:v>
      </x:c>
      <x:c r="F21" s="94" t="str">
        <x:v>STANDARDIZED</x:v>
      </x:c>
      <x:c r="G21" s="94" t="str">
        <x:v>不得为空。</x:v>
      </x:c>
      <x:c r="H21" s="94" t="str">
        <x:v>CV002, CV005, CV006, CV007, CV008, CV009, CV010, CV017, CV024, CV027</x:v>
      </x:c>
      <x:c r="I21" s="110" t="b">
        <x:v>1</x:v>
      </x:c>
    </x:row>
    <x:row r="22" ht="70" customHeight="1">
      <x:c r="A22" s="112" t="str">
        <x:v>financing_events.date_precision</x:v>
      </x:c>
      <x:c r="B22" s="112" t="str">
        <x:v>financing_events</x:v>
      </x:c>
      <x:c r="C22" s="112" t="str">
        <x:v>date_precision</x:v>
      </x:c>
      <x:c r="D22" s="94" t="str">
        <x:v>日期精度</x:v>
      </x:c>
      <x:c r="E22" s="94" t="str">
        <x:v>标准日期对应的实际披露精度。</x:v>
      </x:c>
      <x:c r="F22" s="94" t="str">
        <x:v>STANDARDIZED</x:v>
      </x:c>
      <x:c r="G22" s="94" t="str">
        <x:v>不得为空。</x:v>
      </x:c>
      <x:c r="H22" s="94" t="str">
        <x:v>CV009, CV010, CV029</x:v>
      </x:c>
      <x:c r="I22" s="110" t="b">
        <x:v>1</x:v>
      </x:c>
    </x:row>
    <x:row r="23" ht="70" customHeight="1">
      <x:c r="A23" s="112" t="str">
        <x:v>financing_events.event_date_standardized</x:v>
      </x:c>
      <x:c r="B23" s="112" t="str">
        <x:v>financing_events</x:v>
      </x:c>
      <x:c r="C23" s="112" t="str">
        <x:v>event_date_standardized</x:v>
      </x:c>
      <x:c r="D23" s="94" t="str">
        <x:v>标准事件日期</x:v>
      </x:c>
      <x:c r="E23" s="94" t="str">
        <x:v>用于排序的标准日期/期间表现。</x:v>
      </x:c>
      <x:c r="F23" s="94" t="str">
        <x:v>STANDARDIZED</x:v>
      </x:c>
      <x:c r="G23" s="94" t="str">
        <x:v>原文不足时按date_precision保留年/月。</x:v>
      </x:c>
      <x:c r="H23" s="94" t="str">
        <x:v>CV009, CV010, CV029</x:v>
      </x:c>
      <x:c r="I23" s="110" t="b">
        <x:v>1</x:v>
      </x:c>
    </x:row>
    <x:row r="24" ht="70" customHeight="1">
      <x:c r="A24" s="112" t="str">
        <x:v>financing_events.event_id</x:v>
      </x:c>
      <x:c r="B24" s="112" t="str">
        <x:v>financing_events</x:v>
      </x:c>
      <x:c r="C24" s="112" t="str">
        <x:v>event_id</x:v>
      </x:c>
      <x:c r="D24" s="94" t="str">
        <x:v>事件ID</x:v>
      </x:c>
      <x:c r="E24" s="94" t="str">
        <x:v>历史事件稳定主键。</x:v>
      </x:c>
      <x:c r="F24" s="94" t="str">
        <x:v>STANDARDIZED</x:v>
      </x:c>
      <x:c r="G24" s="94" t="str">
        <x:v>不得为空；一经确认不因排序变化重生成。</x:v>
      </x:c>
      <x:c r="H24" s="94" t="str">
        <x:v>CV014, CV017, CV021</x:v>
      </x:c>
      <x:c r="I24" s="110" t="b">
        <x:v>1</x:v>
      </x:c>
    </x:row>
    <x:row r="25" ht="70" customHeight="1">
      <x:c r="A25" s="112" t="str">
        <x:v>financing_events.event_sequence</x:v>
      </x:c>
      <x:c r="B25" s="112" t="str">
        <x:v>financing_events</x:v>
      </x:c>
      <x:c r="C25" s="112" t="str">
        <x:v>event_sequence</x:v>
      </x:c>
      <x:c r="D25" s="94" t="str">
        <x:v>事件序号</x:v>
      </x:c>
      <x:c r="E25" s="94" t="str">
        <x:v>同一公司内的稳定事件顺序。</x:v>
      </x:c>
      <x:c r="F25" s="94" t="str">
        <x:v>STANDARDIZED</x:v>
      </x:c>
      <x:c r="G25" s="94" t="str">
        <x:v>无法稳定排序时可为空。</x:v>
      </x:c>
      <x:c r="H25" s="94" t="str">
        <x:v>CV017</x:v>
      </x:c>
      <x:c r="I25" s="110" t="b">
        <x:v>1</x:v>
      </x:c>
    </x:row>
    <x:row r="26" ht="70" customHeight="1">
      <x:c r="A26" s="112" t="str">
        <x:v>financing_events.financing_amount_10k_cny</x:v>
      </x:c>
      <x:c r="B26" s="112" t="str">
        <x:v>financing_events</x:v>
      </x:c>
      <x:c r="C26" s="112" t="str">
        <x:v>financing_amount_10k_cny</x:v>
      </x:c>
      <x:c r="D26" s="94" t="str">
        <x:v>事件融资金额（万元人民币）</x:v>
      </x:c>
      <x:c r="E26" s="94" t="str">
        <x:v>该融资事件进入发行人的标准化人民币资金金额，以万元人民币存储。</x:v>
      </x:c>
      <x:c r="F26" s="94" t="str">
        <x:v>DISCLOSED, CALCULATED, STANDARDIZED</x:v>
      </x:c>
      <x:c r="G26" s="94" t="str">
        <x:v>非融资事件或未知时为null；不得用转让对价替代。</x:v>
      </x:c>
      <x:c r="H26" s="94" t="str">
        <x:v>CV005, CV006, CV007, CV008, CV027, CV028, CV030</x:v>
      </x:c>
      <x:c r="I26" s="110" t="b">
        <x:v>1</x:v>
      </x:c>
    </x:row>
    <x:row r="27" ht="70" customHeight="1">
      <x:c r="A27" s="112" t="str">
        <x:v>financing_events.financing_amount_status</x:v>
      </x:c>
      <x:c r="B27" s="112" t="str">
        <x:v>financing_events</x:v>
      </x:c>
      <x:c r="C27" s="112" t="str">
        <x:v>financing_amount_status</x:v>
      </x:c>
      <x:c r="D27" s="94" t="str">
        <x:v>事件融资金额状态</x:v>
      </x:c>
      <x:c r="E27" s="94" t="str">
        <x:v>融资金额披露/计算状态。</x:v>
      </x:c>
      <x:c r="F27" s="94" t="str">
        <x:v>STANDARDIZED</x:v>
      </x:c>
      <x:c r="G27" s="94" t="str">
        <x:v>不得为空。</x:v>
      </x:c>
      <x:c r="H27" s="94" t="str">
        <x:v>CV005, CV027</x:v>
      </x:c>
      <x:c r="I27" s="110" t="b">
        <x:v>1</x:v>
      </x:c>
    </x:row>
    <x:row r="28" ht="70" customHeight="1">
      <x:c r="A28" s="112" t="str">
        <x:v>financing_events.financing_round_flag</x:v>
      </x:c>
      <x:c r="B28" s="112" t="str">
        <x:v>financing_events</x:v>
      </x:c>
      <x:c r="C28" s="112" t="str">
        <x:v>financing_round_flag</x:v>
      </x:c>
      <x:c r="D28" s="94" t="str">
        <x:v>融资轮次标志</x:v>
      </x:c>
      <x:c r="E28" s="94" t="str">
        <x:v>该事件是否计为1轮融资。</x:v>
      </x:c>
      <x:c r="F28" s="94" t="str">
        <x:v>RESEARCH_JUDGMENT</x:v>
      </x:c>
      <x:c r="G28" s="94" t="str">
        <x:v>不得为空。</x:v>
      </x:c>
      <x:c r="H28" s="94" t="str">
        <x:v>CV002, CV005, CV006, CV007, CV008, CV009, CV010, CV014, CV017, CV021, CV023, CV027, CV028, CV029, CV030, CV031</x:v>
      </x:c>
      <x:c r="I28" s="110" t="b">
        <x:v>1</x:v>
      </x:c>
    </x:row>
    <x:row r="29" ht="70" customHeight="1">
      <x:c r="A29" s="112" t="str">
        <x:v>investment_paths.company_id</x:v>
      </x:c>
      <x:c r="B29" s="112" t="str">
        <x:v>investment_paths</x:v>
      </x:c>
      <x:c r="C29" s="112" t="str">
        <x:v>company_id</x:v>
      </x:c>
      <x:c r="D29" s="94" t="str">
        <x:v>公司ID</x:v>
      </x:c>
      <x:c r="E29" s="94" t="str">
        <x:v>路径对应发行人。</x:v>
      </x:c>
      <x:c r="F29" s="94" t="str">
        <x:v>STANDARDIZED</x:v>
      </x:c>
      <x:c r="G29" s="94" t="str">
        <x:v>不得为空。</x:v>
      </x:c>
      <x:c r="H29" s="94" t="str">
        <x:v>CV011, CV012, CV015, CV018, CV019</x:v>
      </x:c>
      <x:c r="I29" s="110" t="b">
        <x:v>1</x:v>
      </x:c>
    </x:row>
    <x:row r="30" ht="70" customHeight="1">
      <x:c r="A30" s="112" t="str">
        <x:v>investment_paths.date_precision</x:v>
      </x:c>
      <x:c r="B30" s="112" t="str">
        <x:v>investment_paths</x:v>
      </x:c>
      <x:c r="C30" s="112" t="str">
        <x:v>date_precision</x:v>
      </x:c>
      <x:c r="D30" s="94" t="str">
        <x:v>路径日期精度</x:v>
      </x:c>
      <x:c r="E30" s="94" t="str">
        <x:v>transaction_date对应的实际披露精度。</x:v>
      </x:c>
      <x:c r="F30" s="94" t="str">
        <x:v>STANDARDIZED</x:v>
      </x:c>
      <x:c r="G30" s="94" t="str">
        <x:v>不得为空。</x:v>
      </x:c>
      <x:c r="H30" s="94" t="str">
        <x:v>CV015, CV016</x:v>
      </x:c>
      <x:c r="I30" s="110" t="b">
        <x:v>1</x:v>
      </x:c>
    </x:row>
    <x:row r="31" ht="70" customHeight="1">
      <x:c r="A31" s="112" t="str">
        <x:v>investment_paths.direct_indirect</x:v>
      </x:c>
      <x:c r="B31" s="112" t="str">
        <x:v>investment_paths</x:v>
      </x:c>
      <x:c r="C31" s="112" t="str">
        <x:v>direct_indirect</x:v>
      </x:c>
      <x:c r="D31" s="94" t="str">
        <x:v>直接/间接</x:v>
      </x:c>
      <x:c r="E31" s="94" t="str">
        <x:v>投资路径是否直接持有发行人权益。</x:v>
      </x:c>
      <x:c r="F31" s="94" t="str">
        <x:v>RESEARCH_JUDGMENT</x:v>
      </x:c>
      <x:c r="G31" s="94" t="str">
        <x:v>不得为空。</x:v>
      </x:c>
      <x:c r="H31" s="94" t="str">
        <x:v>CV018, CV020</x:v>
      </x:c>
      <x:c r="I31" s="110" t="b">
        <x:v>1</x:v>
      </x:c>
    </x:row>
    <x:row r="32" ht="70" customHeight="1">
      <x:c r="A32" s="112" t="str">
        <x:v>investment_paths.entry_method</x:v>
      </x:c>
      <x:c r="B32" s="112" t="str">
        <x:v>investment_paths</x:v>
      </x:c>
      <x:c r="C32" s="112" t="str">
        <x:v>entry_method</x:v>
      </x:c>
      <x:c r="D32" s="94" t="str">
        <x:v>进入方式</x:v>
      </x:c>
      <x:c r="E32" s="94" t="str">
        <x:v>投资主体进入发行人的方式。</x:v>
      </x:c>
      <x:c r="F32" s="94" t="str">
        <x:v>STANDARDIZED, RESEARCH_JUDGMENT</x:v>
      </x:c>
      <x:c r="G32" s="94" t="str">
        <x:v>仅与进入发行人的边/路径摘要相关；中间管理或持股边可为空。</x:v>
      </x:c>
      <x:c r="H32" s="94" t="str">
        <x:v>CV019</x:v>
      </x:c>
      <x:c r="I32" s="110" t="b">
        <x:v>1</x:v>
      </x:c>
    </x:row>
    <x:row r="33" ht="70" customHeight="1">
      <x:c r="A33" s="112" t="str">
        <x:v>investment_paths.investor_entity_id</x:v>
      </x:c>
      <x:c r="B33" s="112" t="str">
        <x:v>investment_paths</x:v>
      </x:c>
      <x:c r="C33" s="112" t="str">
        <x:v>investor_entity_id</x:v>
      </x:c>
      <x:c r="D33" s="94" t="str">
        <x:v>投资主体ID</x:v>
      </x:c>
      <x:c r="E33" s="94" t="str">
        <x:v>路径中的投资主体。</x:v>
      </x:c>
      <x:c r="F33" s="94" t="str">
        <x:v>STANDARDIZED</x:v>
      </x:c>
      <x:c r="G33" s="94" t="str">
        <x:v>不得为空。</x:v>
      </x:c>
      <x:c r="H33" s="94" t="str">
        <x:v>CV011, CV015, CV018, CV019</x:v>
      </x:c>
      <x:c r="I33" s="110" t="b">
        <x:v>1</x:v>
      </x:c>
    </x:row>
    <x:row r="34" ht="70" customHeight="1">
      <x:c r="A34" s="112" t="str">
        <x:v>investment_paths.standardized_path_status</x:v>
      </x:c>
      <x:c r="B34" s="112" t="str">
        <x:v>investment_paths</x:v>
      </x:c>
      <x:c r="C34" s="112" t="str">
        <x:v>standardized_path_status</x:v>
      </x:c>
      <x:c r="D34" s="94" t="str">
        <x:v>标准路径状态</x:v>
      </x:c>
      <x:c r="E34" s="94" t="str">
        <x:v>统一口径后的最终路径状态。</x:v>
      </x:c>
      <x:c r="F34" s="94" t="str">
        <x:v>RESEARCH_JUDGMENT</x:v>
      </x:c>
      <x:c r="G34" s="94" t="str">
        <x:v>不得为空。</x:v>
      </x:c>
      <x:c r="H34" s="94" t="str">
        <x:v>CV011, CV015, CV018, CV019</x:v>
      </x:c>
      <x:c r="I34" s="110" t="b">
        <x:v>1</x:v>
      </x:c>
    </x:row>
    <x:row r="35" ht="70" customHeight="1">
      <x:c r="A35" s="112" t="str">
        <x:v>investment_paths.transaction_date</x:v>
      </x:c>
      <x:c r="B35" s="112" t="str">
        <x:v>investment_paths</x:v>
      </x:c>
      <x:c r="C35" s="112" t="str">
        <x:v>transaction_date</x:v>
      </x:c>
      <x:c r="D35" s="94" t="str">
        <x:v>路径对应交易日期</x:v>
      </x:c>
      <x:c r="E35" s="94" t="str">
        <x:v>投资进入时间。</x:v>
      </x:c>
      <x:c r="F35" s="94" t="str">
        <x:v>DISCLOSED, STANDARDIZED</x:v>
      </x:c>
      <x:c r="G35" s="94" t="str">
        <x:v>未披露可为空。</x:v>
      </x:c>
      <x:c r="H35" s="94" t="str">
        <x:v>CV015, CV016</x:v>
      </x:c>
      <x:c r="I35" s="110" t="b">
        <x:v>1</x:v>
      </x:c>
    </x:row>
    <x:row r="36" ht="70" customHeight="1">
      <x:c r="A36" s="112" t="str">
        <x:v>transaction_parties.entity_id</x:v>
      </x:c>
      <x:c r="B36" s="112" t="str">
        <x:v>transaction_parties</x:v>
      </x:c>
      <x:c r="C36" s="112" t="str">
        <x:v>entity_id</x:v>
      </x:c>
      <x:c r="D36" s="94" t="str">
        <x:v>主体ID</x:v>
      </x:c>
      <x:c r="E36" s="94" t="str">
        <x:v>参与交易的稳定主体ID。</x:v>
      </x:c>
      <x:c r="F36" s="94" t="str">
        <x:v>STANDARDIZED</x:v>
      </x:c>
      <x:c r="G36" s="94" t="str">
        <x:v>不得为空。</x:v>
      </x:c>
      <x:c r="H36" s="94" t="str">
        <x:v>CV014, CV017, CV021, CV022</x:v>
      </x:c>
      <x:c r="I36" s="110" t="b">
        <x:v>1</x:v>
      </x:c>
    </x:row>
    <x:row r="37" ht="70" customHeight="1">
      <x:c r="A37" s="112" t="str">
        <x:v>transaction_parties.entity_role_standardized</x:v>
      </x:c>
      <x:c r="B37" s="112" t="str">
        <x:v>transaction_parties</x:v>
      </x:c>
      <x:c r="C37" s="112" t="str">
        <x:v>entity_role_standardized</x:v>
      </x:c>
      <x:c r="D37" s="94" t="str">
        <x:v>标准主体角色</x:v>
      </x:c>
      <x:c r="E37" s="94" t="str">
        <x:v>主体在该交易中的统一角色。</x:v>
      </x:c>
      <x:c r="F37" s="94" t="str">
        <x:v>STANDARDIZED</x:v>
      </x:c>
      <x:c r="G37" s="94" t="str">
        <x:v>不得为空。</x:v>
      </x:c>
      <x:c r="H37" s="94" t="str">
        <x:v>CV021, CV022</x:v>
      </x:c>
      <x:c r="I37" s="110" t="b">
        <x:v>1</x:v>
      </x:c>
    </x:row>
    <x:row r="38" ht="70" customHeight="1">
      <x:c r="A38" s="112" t="str">
        <x:v>transaction_parties.transaction_id</x:v>
      </x:c>
      <x:c r="B38" s="112" t="str">
        <x:v>transaction_parties</x:v>
      </x:c>
      <x:c r="C38" s="112" t="str">
        <x:v>transaction_id</x:v>
      </x:c>
      <x:c r="D38" s="94" t="str">
        <x:v>交易ID</x:v>
      </x:c>
      <x:c r="E38" s="94" t="str">
        <x:v>参与关系所属交易。</x:v>
      </x:c>
      <x:c r="F38" s="94" t="str">
        <x:v>STANDARDIZED</x:v>
      </x:c>
      <x:c r="G38" s="94" t="str">
        <x:v>不得为空。</x:v>
      </x:c>
      <x:c r="H38" s="94" t="str">
        <x:v>CV014, CV021</x:v>
      </x:c>
      <x:c r="I38" s="110" t="b">
        <x:v>1</x:v>
      </x:c>
    </x:row>
    <x:row r="39" ht="70" customHeight="1">
      <x:c r="A39" s="112" t="str">
        <x:v>transactions.entry_method</x:v>
      </x:c>
      <x:c r="B39" s="112" t="str">
        <x:v>transactions</x:v>
      </x:c>
      <x:c r="C39" s="112" t="str">
        <x:v>entry_method</x:v>
      </x:c>
      <x:c r="D39" s="94" t="str">
        <x:v>进入方式</x:v>
      </x:c>
      <x:c r="E39" s="94" t="str">
        <x:v>投资人进入发行人股权结构的方式。</x:v>
      </x:c>
      <x:c r="F39" s="94" t="str">
        <x:v>STANDARDIZED, RESEARCH_JUDGMENT</x:v>
      </x:c>
      <x:c r="G39" s="94" t="str">
        <x:v>非投资交易可NOT_APPLICABLE。</x:v>
      </x:c>
      <x:c r="H39" s="94" t="str">
        <x:v>CV023</x:v>
      </x:c>
      <x:c r="I39" s="110" t="b">
        <x:v>1</x:v>
      </x:c>
    </x:row>
    <x:row r="40" ht="70" customHeight="1">
      <x:c r="A40" s="112" t="str">
        <x:v>transactions.event_id</x:v>
      </x:c>
      <x:c r="B40" s="112" t="str">
        <x:v>transactions</x:v>
      </x:c>
      <x:c r="C40" s="112" t="str">
        <x:v>event_id</x:v>
      </x:c>
      <x:c r="D40" s="94" t="str">
        <x:v>事件ID</x:v>
      </x:c>
      <x:c r="E40" s="94" t="str">
        <x:v>所属历史事件。</x:v>
      </x:c>
      <x:c r="F40" s="94" t="str">
        <x:v>STANDARDIZED</x:v>
      </x:c>
      <x:c r="G40" s="94" t="str">
        <x:v>不得为空。</x:v>
      </x:c>
      <x:c r="H40" s="94" t="str">
        <x:v>CV014, CV021, CV023, CV024</x:v>
      </x:c>
      <x:c r="I40" s="110" t="b">
        <x:v>1</x:v>
      </x:c>
    </x:row>
    <x:row r="41" ht="70" customHeight="1">
      <x:c r="A41" s="112" t="str">
        <x:v>transactions.transaction_type_standardized</x:v>
      </x:c>
      <x:c r="B41" s="112" t="str">
        <x:v>transactions</x:v>
      </x:c>
      <x:c r="C41" s="112" t="str">
        <x:v>transaction_type_standardized</x:v>
      </x:c>
      <x:c r="D41" s="94" t="str">
        <x:v>标准交易类型</x:v>
      </x:c>
      <x:c r="E41" s="94" t="str">
        <x:v>统一Schema下的受控交易类型。</x:v>
      </x:c>
      <x:c r="F41" s="94" t="str">
        <x:v>STANDARDIZED</x:v>
      </x:c>
      <x:c r="G41" s="94" t="str">
        <x:v>不得为空。</x:v>
      </x:c>
      <x:c r="H41" s="94" t="str">
        <x:v>CV023, CV024</x:v>
      </x:c>
      <x:c r="I41" s="110" t="b">
        <x:v>1</x:v>
      </x:c>
    </x:row>
  </x:sheetData>
  <x:mergeCells>
    <x:mergeCell ref="A1:I1"/>
    <x:mergeCell ref="A2:I2"/>
  </x:mergeCells>
  <x:conditionalFormatting sqref="I5:I41">
    <x:cfRule type="cellIs" dxfId="7" priority="1" operator="equal">
      <x:formula>TRUE</x:formula>
    </x:cfRule>
    <x:cfRule type="cellIs" dxfId="8" priority="2" operator="equal">
      <x:formula>FALSE</x:formula>
    </x:cfRule>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44" hidden="0" customWidth="1"/>
    <x:col min="3" max="3" width="20" hidden="0" customWidth="1"/>
    <x:col min="4" max="4" width="22" hidden="0" customWidth="1"/>
    <x:col min="5" max="5" width="18" hidden="0" customWidth="1"/>
    <x:col min="6" max="6" width="18" hidden="0" customWidth="1"/>
    <x:col min="7" max="7" width="16" hidden="0" customWidth="1"/>
    <x:col min="8" max="8" width="62" hidden="0" customWidth="1"/>
  </x:cols>
  <x:sheetData>
    <x:row r="1" ht="32" customHeight="1">
      <x:c r="A1" s="3" t="str">
        <x:v>Stage 3 验收检查</x:v>
      </x:c>
      <x:c r="B1" s="3"/>
      <x:c r="C1" s="3"/>
      <x:c r="D1" s="3"/>
      <x:c r="E1" s="3"/>
      <x:c r="F1" s="3"/>
      <x:c r="G1" s="3"/>
      <x:c r="H1" s="3"/>
    </x:row>
    <x:row r="2" ht="34" customHeight="1">
      <x:c r="A2" s="7" t="str">
        <x:v>变量字典需满足唯一性、规则完整性、Schema映射有效和不修改事实层四类要求。</x:v>
      </x:c>
      <x:c r="B2" s="7"/>
      <x:c r="C2" s="7"/>
      <x:c r="D2" s="7"/>
      <x:c r="E2" s="7"/>
      <x:c r="F2" s="7"/>
      <x:c r="G2" s="7"/>
      <x:c r="H2" s="7"/>
    </x:row>
    <x:row r="3">
      <x:c r="A3" s="11"/>
      <x:c r="B3" s="11"/>
      <x:c r="C3" s="11"/>
      <x:c r="D3" s="11"/>
      <x:c r="E3" s="11"/>
      <x:c r="F3" s="11"/>
      <x:c r="G3" s="11"/>
      <x:c r="H3" s="11"/>
    </x:row>
    <x:row r="4" ht="34" customHeight="1">
      <x:c r="A4" s="68" t="str">
        <x:v>检查ID</x:v>
      </x:c>
      <x:c r="B4" s="69" t="str">
        <x:v>检查项</x:v>
      </x:c>
      <x:c r="C4" s="69" t="str">
        <x:v>期望</x:v>
      </x:c>
      <x:c r="D4" s="69" t="str">
        <x:v>实际</x:v>
      </x:c>
      <x:c r="E4" s="69" t="str">
        <x:v>类型</x:v>
      </x:c>
      <x:c r="F4" s="69" t="str">
        <x:v>容差</x:v>
      </x:c>
      <x:c r="G4" s="69" t="str">
        <x:v>状态</x:v>
      </x:c>
      <x:c r="H4" s="70" t="str">
        <x:v>说明</x:v>
      </x:c>
    </x:row>
    <x:row r="5" ht="38" customHeight="1">
      <x:c r="A5" s="76" t="str">
        <x:v>S3-001</x:v>
      </x:c>
      <x:c r="B5" s="76" t="str">
        <x:v>候选变量总数</x:v>
      </x:c>
      <x:c r="C5" s="91" t="n">
        <x:v>32</x:v>
      </x:c>
      <x:c r="D5" s="91" t="n">
        <x:f>COUNTA('候选变量字典'!$A$5:$A$36)</x:f>
        <x:v>32</x:v>
      </x:c>
      <x:c r="E5" s="91" t="str">
        <x:v>数值</x:v>
      </x:c>
      <x:c r="F5" s="91" t="n">
        <x:v>0</x:v>
      </x:c>
      <x:c r="G5" s="76" t="str">
        <x:f>IF(ABS(D5-C5)&lt;=F5,"PASS","FAIL")</x:f>
        <x:v>PASS</x:v>
      </x:c>
      <x:c r="H5" s="76" t="str">
        <x:v>32个变量均有ID</x:v>
      </x:c>
    </x:row>
    <x:row r="6" ht="38" customHeight="1">
      <x:c r="A6" s="77" t="str">
        <x:v>S3-002</x:v>
      </x:c>
      <x:c r="B6" s="77" t="str">
        <x:v>变量ID唯一</x:v>
      </x:c>
      <x:c r="C6" s="92" t="n">
        <x:v>32</x:v>
      </x:c>
      <x:c r="D6" s="92" t="n">
        <x:f>COUNTIF('候选变量字典'!$N$5:$N$36,1)</x:f>
        <x:v>32</x:v>
      </x:c>
      <x:c r="E6" s="92" t="str">
        <x:v>数值</x:v>
      </x:c>
      <x:c r="F6" s="92" t="n">
        <x:v>0</x:v>
      </x:c>
      <x:c r="G6" s="77" t="str">
        <x:f>IF(ABS(D6-C6)&lt;=F6,"PASS","FAIL")</x:f>
        <x:v>PASS</x:v>
      </x:c>
      <x:c r="H6" s="77" t="str">
        <x:v>每个ID出现次数必须为1</x:v>
      </x:c>
    </x:row>
    <x:row r="7" ht="38" customHeight="1">
      <x:c r="A7" s="77" t="str">
        <x:v>S3-003</x:v>
      </x:c>
      <x:c r="B7" s="77" t="str">
        <x:v>英文变量名唯一</x:v>
      </x:c>
      <x:c r="C7" s="92" t="n">
        <x:v>32</x:v>
      </x:c>
      <x:c r="D7" s="92" t="n">
        <x:f>COUNTIF('候选变量字典'!$O$5:$O$36,1)</x:f>
        <x:v>32</x:v>
      </x:c>
      <x:c r="E7" s="92" t="str">
        <x:v>数值</x:v>
      </x:c>
      <x:c r="F7" s="92" t="n">
        <x:v>0</x:v>
      </x:c>
      <x:c r="G7" s="77" t="str">
        <x:f>IF(ABS(D7-C7)&lt;=F7,"PASS","FAIL")</x:f>
        <x:v>PASS</x:v>
      </x:c>
      <x:c r="H7" s="77" t="str">
        <x:v>每个英文变量名出现次数必须为1</x:v>
      </x:c>
    </x:row>
    <x:row r="8" ht="38" customHeight="1">
      <x:c r="A8" s="77" t="str">
        <x:v>S3-004</x:v>
      </x:c>
      <x:c r="B8" s="77" t="str">
        <x:v>定义完整</x:v>
      </x:c>
      <x:c r="C8" s="92" t="n">
        <x:v>32</x:v>
      </x:c>
      <x:c r="D8" s="92" t="n">
        <x:f>COUNTA('候选变量字典'!$J$5:$J$36)</x:f>
        <x:v>32</x:v>
      </x:c>
      <x:c r="E8" s="92" t="str">
        <x:v>数值</x:v>
      </x:c>
      <x:c r="F8" s="92" t="n">
        <x:v>0</x:v>
      </x:c>
      <x:c r="G8" s="77" t="str">
        <x:f>IF(ABS(D8-C8)&lt;=F8,"PASS","FAIL")</x:f>
        <x:v>PASS</x:v>
      </x:c>
      <x:c r="H8" s="77" t="str">
        <x:v>每个候选变量均有定义</x:v>
      </x:c>
    </x:row>
    <x:row r="9" ht="38" customHeight="1">
      <x:c r="A9" s="77" t="str">
        <x:v>S3-005</x:v>
      </x:c>
      <x:c r="B9" s="77" t="str">
        <x:v>定义理由完整</x:v>
      </x:c>
      <x:c r="C9" s="92" t="n">
        <x:v>32</x:v>
      </x:c>
      <x:c r="D9" s="92" t="n">
        <x:f>COUNTA('候选变量字典'!$K$5:$K$36)</x:f>
        <x:v>32</x:v>
      </x:c>
      <x:c r="E9" s="92" t="str">
        <x:v>数值</x:v>
      </x:c>
      <x:c r="F9" s="92" t="n">
        <x:v>0</x:v>
      </x:c>
      <x:c r="G9" s="77" t="str">
        <x:f>IF(ABS(D9-C9)&lt;=F9,"PASS","FAIL")</x:f>
        <x:v>PASS</x:v>
      </x:c>
      <x:c r="H9" s="77" t="str">
        <x:v>每个候选变量说明为什么定义</x:v>
      </x:c>
    </x:row>
    <x:row r="10" ht="38" customHeight="1">
      <x:c r="A10" s="77" t="str">
        <x:v>S3-006</x:v>
      </x:c>
      <x:c r="B10" s="77" t="str">
        <x:v>null规则完整</x:v>
      </x:c>
      <x:c r="C10" s="92" t="n">
        <x:v>32</x:v>
      </x:c>
      <x:c r="D10" s="92" t="n">
        <x:f>COUNTA('计算与空值规则'!$F$5:$F$36)</x:f>
        <x:v>32</x:v>
      </x:c>
      <x:c r="E10" s="92" t="str">
        <x:v>数值</x:v>
      </x:c>
      <x:c r="F10" s="92" t="n">
        <x:v>0</x:v>
      </x:c>
      <x:c r="G10" s="77" t="str">
        <x:f>IF(ABS(D10-C10)&lt;=F10,"PASS","FAIL")</x:f>
        <x:v>PASS</x:v>
      </x:c>
      <x:c r="H10" s="77" t="str">
        <x:v>未知不得默认为0</x:v>
      </x:c>
    </x:row>
    <x:row r="11" ht="38" customHeight="1">
      <x:c r="A11" s="77" t="str">
        <x:v>S3-007</x:v>
      </x:c>
      <x:c r="B11" s="77" t="str">
        <x:v>zero规则完整</x:v>
      </x:c>
      <x:c r="C11" s="92" t="n">
        <x:v>32</x:v>
      </x:c>
      <x:c r="D11" s="92" t="n">
        <x:f>COUNTA('计算与空值规则'!$G$5:$G$36)</x:f>
        <x:v>32</x:v>
      </x:c>
      <x:c r="E11" s="92" t="str">
        <x:v>数值</x:v>
      </x:c>
      <x:c r="F11" s="92" t="n">
        <x:v>0</x:v>
      </x:c>
      <x:c r="G11" s="77" t="str">
        <x:f>IF(ABS(D11-C11)&lt;=F11,"PASS","FAIL")</x:f>
        <x:v>PASS</x:v>
      </x:c>
      <x:c r="H11" s="77" t="str">
        <x:v>明确0与缺失分开</x:v>
      </x:c>
    </x:row>
    <x:row r="12" ht="38" customHeight="1">
      <x:c r="A12" s="77" t="str">
        <x:v>S3-008</x:v>
      </x:c>
      <x:c r="B12" s="77" t="str">
        <x:v>解释边界完整</x:v>
      </x:c>
      <x:c r="C12" s="92" t="n">
        <x:v>32</x:v>
      </x:c>
      <x:c r="D12" s="92" t="n">
        <x:f>COUNTA('计算与空值规则'!$I$5:$I$36)</x:f>
        <x:v>32</x:v>
      </x:c>
      <x:c r="E12" s="92" t="str">
        <x:v>数值</x:v>
      </x:c>
      <x:c r="F12" s="92" t="n">
        <x:v>0</x:v>
      </x:c>
      <x:c r="G12" s="77" t="str">
        <x:f>IF(ABS(D12-C12)&lt;=F12,"PASS","FAIL")</x:f>
        <x:v>PASS</x:v>
      </x:c>
      <x:c r="H12" s="77" t="str">
        <x:v>每个变量均列出不可解释含义</x:v>
      </x:c>
    </x:row>
    <x:row r="13" ht="38" customHeight="1">
      <x:c r="A13" s="77" t="str">
        <x:v>S3-009</x:v>
      </x:c>
      <x:c r="B13" s="77" t="str">
        <x:v>Schema来源字段数</x:v>
      </x:c>
      <x:c r="C13" s="92" t="n">
        <x:v>37</x:v>
      </x:c>
      <x:c r="D13" s="92" t="n">
        <x:f>COUNTA('来源字段映射'!$A$5:$A$41)</x:f>
        <x:v>37</x:v>
      </x:c>
      <x:c r="E13" s="92" t="str">
        <x:v>数值</x:v>
      </x:c>
      <x:c r="F13" s="92" t="n">
        <x:v>0</x:v>
      </x:c>
      <x:c r="G13" s="77" t="str">
        <x:f>IF(ABS(D13-C13)&lt;=F13,"PASS","FAIL")</x:f>
        <x:v>PASS</x:v>
      </x:c>
      <x:c r="H13" s="77" t="str">
        <x:v>去重后的实际来源字段数</x:v>
      </x:c>
    </x:row>
    <x:row r="14" ht="38" customHeight="1">
      <x:c r="A14" s="77" t="str">
        <x:v>S3-010</x:v>
      </x:c>
      <x:c r="B14" s="77" t="str">
        <x:v>Schema映射错误数</x:v>
      </x:c>
      <x:c r="C14" s="92" t="n">
        <x:v>0</x:v>
      </x:c>
      <x:c r="D14" s="92" t="n">
        <x:f>COUNTIF('来源字段映射'!$I$5:$I$41,FALSE)</x:f>
        <x:v>0</x:v>
      </x:c>
      <x:c r="E14" s="92" t="str">
        <x:v>数值</x:v>
      </x:c>
      <x:c r="F14" s="92" t="n">
        <x:v>0</x:v>
      </x:c>
      <x:c r="G14" s="77" t="str">
        <x:f>IF(ABS(D14-C14)&lt;=F14,"PASS","FAIL")</x:f>
        <x:v>PASS</x:v>
      </x:c>
      <x:c r="H14" s="77" t="str">
        <x:v>所有table.field均存在于Week 8最终Schema</x:v>
      </x:c>
    </x:row>
    <x:row r="15" ht="38" customHeight="1">
      <x:c r="A15" s="77" t="str">
        <x:v>S3-011</x:v>
      </x:c>
      <x:c r="B15" s="77" t="str">
        <x:v>事实层是否修改</x:v>
      </x:c>
      <x:c r="C15" s="117" t="b">
        <x:v>0</x:v>
      </x:c>
      <x:c r="D15" s="92" t="b">
        <x:f>'阶段说明'!$H$5</x:f>
        <x:v>0</x:v>
      </x:c>
      <x:c r="E15" s="92" t="str">
        <x:v>布尔</x:v>
      </x:c>
      <x:c r="F15" s="92" t="n">
        <x:v>0</x:v>
      </x:c>
      <x:c r="G15" s="77" t="str">
        <x:f>IF(D15=C15,"PASS","FAIL")</x:f>
        <x:v>PASS</x:v>
      </x:c>
      <x:c r="H15" s="77" t="str">
        <x:v>必须为FALSE</x:v>
      </x:c>
    </x:row>
    <x:row r="16" ht="38" customHeight="1">
      <x:c r="A16" s="77" t="str">
        <x:v>S3-012</x:v>
      </x:c>
      <x:c r="B16" s="77" t="str">
        <x:v>候选尚未计算</x:v>
      </x:c>
      <x:c r="C16" s="92" t="n">
        <x:v>32</x:v>
      </x:c>
      <x:c r="D16" s="92" t="n">
        <x:f>COUNTIF('候选变量字典'!$M$5:$M$36,"CANDIDATE_DEFINED_NOT_COMPUTED")</x:f>
        <x:v>32</x:v>
      </x:c>
      <x:c r="E16" s="92" t="str">
        <x:v>数值</x:v>
      </x:c>
      <x:c r="F16" s="92" t="n">
        <x:v>0</x:v>
      </x:c>
      <x:c r="G16" s="77" t="str">
        <x:f>IF(ABS(D16-C16)&lt;=F16,"PASS","FAIL")</x:f>
        <x:v>PASS</x:v>
      </x:c>
      <x:c r="H16" s="77" t="str">
        <x:v>Stage 3不写入八家公司取值</x:v>
      </x:c>
    </x:row>
    <x:row r="17" ht="38" customHeight="1">
      <x:c r="A17" s="77" t="str">
        <x:v>S3-013</x:v>
      </x:c>
      <x:c r="B17" s="77" t="str">
        <x:v>公司层观察单位</x:v>
      </x:c>
      <x:c r="C17" s="92" t="n">
        <x:v>32</x:v>
      </x:c>
      <x:c r="D17" s="92" t="n">
        <x:f>COUNTIF('候选变量字典'!$F$5:$F$36,"公司层")</x:f>
        <x:v>32</x:v>
      </x:c>
      <x:c r="E17" s="92" t="str">
        <x:v>数值</x:v>
      </x:c>
      <x:c r="F17" s="92" t="n">
        <x:v>0</x:v>
      </x:c>
      <x:c r="G17" s="77" t="str">
        <x:f>IF(ABS(D17-C17)&lt;=F17,"PASS","FAIL")</x:f>
        <x:v>PASS</x:v>
      </x:c>
      <x:c r="H17" s="77" t="str">
        <x:v>研究变量主表保持一家公司一行</x:v>
      </x:c>
    </x:row>
    <x:row r="18" ht="38" customHeight="1">
      <x:c r="A18" s="77" t="str">
        <x:v>S3-014</x:v>
      </x:c>
      <x:c r="B18" s="77" t="str">
        <x:v>A核心变量数</x:v>
      </x:c>
      <x:c r="C18" s="92" t="n">
        <x:v>11</x:v>
      </x:c>
      <x:c r="D18" s="92" t="n">
        <x:f>COUNTIF('候选变量字典'!$E$5:$E$36,"A核心")</x:f>
        <x:v>11</x:v>
      </x:c>
      <x:c r="E18" s="92" t="str">
        <x:v>数值</x:v>
      </x:c>
      <x:c r="F18" s="92" t="n">
        <x:v>0</x:v>
      </x:c>
      <x:c r="G18" s="77" t="str">
        <x:f>IF(ABS(D18-C18)&lt;=F18,"PASS","FAIL")</x:f>
        <x:v>PASS</x:v>
      </x:c>
      <x:c r="H18" s="77" t="str">
        <x:v>优先进入Stage 4</x:v>
      </x:c>
    </x:row>
    <x:row r="19" ht="38" customHeight="1">
      <x:c r="A19" s="77" t="str">
        <x:v>S3-015</x:v>
      </x:c>
      <x:c r="B19" s="77" t="str">
        <x:v>Q质量变量数</x:v>
      </x:c>
      <x:c r="C19" s="92" t="n">
        <x:v>6</x:v>
      </x:c>
      <x:c r="D19" s="92" t="n">
        <x:f>COUNTIF('候选变量字典'!$E$5:$E$36,"Q质量")</x:f>
        <x:v>6</x:v>
      </x:c>
      <x:c r="E19" s="92" t="str">
        <x:v>数值</x:v>
      </x:c>
      <x:c r="F19" s="92" t="n">
        <x:v>0</x:v>
      </x:c>
      <x:c r="G19" s="77" t="str">
        <x:f>IF(ABS(D19-C19)&lt;=F19,"PASS","FAIL")</x:f>
        <x:v>PASS</x:v>
      </x:c>
      <x:c r="H19" s="77" t="str">
        <x:v>用于覆盖率和解释门槛</x:v>
      </x:c>
    </x:row>
    <x:row r="20">
      <x:c r="A20" s="11"/>
      <x:c r="B20" s="11"/>
      <x:c r="C20" s="11"/>
      <x:c r="D20" s="11"/>
      <x:c r="E20" s="11"/>
      <x:c r="F20" s="11"/>
      <x:c r="G20" s="11"/>
      <x:c r="H20" s="11"/>
    </x:row>
    <x:row r="21" ht="24" customHeight="1">
      <x:c r="A21" s="9" t="str">
        <x:v>阶段总状态</x:v>
      </x:c>
      <x:c r="B21" s="9"/>
      <x:c r="C21" s="9"/>
      <x:c r="D21" s="9"/>
      <x:c r="E21" s="9"/>
      <x:c r="F21" s="9"/>
      <x:c r="G21" s="9"/>
      <x:c r="H21" s="9"/>
    </x:row>
    <x:row r="22" ht="34" customHeight="1">
      <x:c r="A22" s="118" t="str">
        <x:v>总状态</x:v>
      </x:c>
      <x:c r="B22" s="121" t="str">
        <x:f>IF(COUNTIF($G$5:$G$19,"FAIL")=0,"PASS","FAIL")</x:f>
        <x:v>PASS</x:v>
      </x:c>
      <x:c r="C22" s="121"/>
      <x:c r="D22" s="121"/>
      <x:c r="E22" s="121"/>
      <x:c r="F22" s="121"/>
      <x:c r="G22" s="121"/>
      <x:c r="H22" s="49" t="str">
        <x:v>仅当全部检查PASS后才可提交用户验收</x:v>
      </x:c>
    </x:row>
  </x:sheetData>
  <x:mergeCells>
    <x:mergeCell ref="A1:H1"/>
    <x:mergeCell ref="A2:H2"/>
    <x:mergeCell ref="A21:H21"/>
    <x:mergeCell ref="B22:G22"/>
  </x:mergeCells>
  <x:conditionalFormatting sqref="G5:G19">
    <x:cfRule type="containsText" dxfId="9" priority="1" operator="containsText" text="PASS"/>
    <x:cfRule type="containsText" dxfId="10" priority="2" operator="containsText" text="FAIL"/>
  </x:conditionalFormatting>
  <x:pageMargins left="0.7" right="0.7" top="0.75" bottom="0.75" header="0.3" footer="0.3"/>
</x:worksheet>
</file>