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7a4abf9b5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0ceb06c39d824d5e"/>
    <x:sheet xmlns:r="http://schemas.openxmlformats.org/officeDocument/2006/relationships" name="公司层视图" sheetId="2" r:id="R78817256773d4fb1"/>
    <x:sheet xmlns:r="http://schemas.openxmlformats.org/officeDocument/2006/relationships" name="融资轮次视图" sheetId="3" r:id="Ra4135621a8f34aaf"/>
    <x:sheet xmlns:r="http://schemas.openxmlformats.org/officeDocument/2006/relationships" name="交易组成视图" sheetId="4" r:id="R95c1414286f34e38"/>
    <x:sheet xmlns:r="http://schemas.openxmlformats.org/officeDocument/2006/relationships" name="主体状态视图" sheetId="5" r:id="R8275d9a8cbdf4f17"/>
    <x:sheet xmlns:r="http://schemas.openxmlformats.org/officeDocument/2006/relationships" name="路径状态视图" sheetId="6" r:id="Rb61423ad07aa4ad9"/>
    <x:sheet xmlns:r="http://schemas.openxmlformats.org/officeDocument/2006/relationships" name="描述统计" sheetId="7" r:id="R524baf8140744354"/>
    <x:sheet xmlns:r="http://schemas.openxmlformats.org/officeDocument/2006/relationships" name="分类分布" sheetId="8" r:id="R36cb716fb92c487b"/>
    <x:sheet xmlns:r="http://schemas.openxmlformats.org/officeDocument/2006/relationships" name="验收检查" sheetId="9" r:id="R0a6efaea9391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0000"/>
    <x:numFmt numFmtId="201" formatCode="#,##0"/>
    <x:numFmt numFmtId="202" formatCode="@"/>
    <x:numFmt numFmtId="203" formatCode="#,##0.0000"/>
    <x:numFmt numFmtId="204" formatCode="0"/>
    <x:numFmt numFmtId="205" formatCode="#,##0.00"/>
    <x:numFmt numFmtId="206" formatCode="0.0%"/>
  </x:numFmts>
  <x:fonts count="2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  <x:font>
      <x:b/>
      <x:sz val="11"/>
      <x:color rgb="FF4B5563"/>
      <x:name val="Carlito"/>
    </x:font>
    <x:font>
      <x:b/>
      <x:sz val="11"/>
      <x:color rgb="FF0F766E"/>
      <x:name val="Carlito"/>
    </x:font>
    <x:font>
      <x:sz val="11"/>
      <x:color rgb="FF111827"/>
      <x:name val="Carlito"/>
    </x:font>
    <x:font>
      <x:sz val="11"/>
      <x:color rgb="FF008000"/>
      <x:name val="Carlito"/>
    </x:font>
    <x:font>
      <x:i/>
      <x:sz val="11"/>
      <x:color rgb="FF92400E"/>
      <x:name val="Carlito"/>
    </x:font>
    <x:font>
      <x:b/>
      <x:sz val="11"/>
      <x:color rgb="FF166534"/>
      <x:name val="Carlito"/>
    </x:font>
    <x:font>
      <x:b/>
      <x:sz val="16"/>
      <x:color rgb="FFFFFFFF"/>
      <x:name val="Microsoft YaHei"/>
    </x:font>
    <x:font>
      <x:i/>
      <x:sz val="11"/>
      <x:color rgb="FF4B5563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1"/>
      <x:color rgb="FF4B5563"/>
      <x:name val="Microsoft YaHei"/>
    </x:font>
    <x:font>
      <x:b/>
      <x:sz val="11"/>
      <x:color rgb="FF0F766E"/>
      <x:name val="Microsoft YaHei"/>
    </x:font>
    <x:font>
      <x:sz val="11"/>
      <x:color rgb="FF111827"/>
      <x:name val="Microsoft YaHei"/>
    </x:font>
    <x:font>
      <x:b/>
      <x:sz val="10"/>
      <x:color rgb="FFFFFFFF"/>
      <x:name val="Microsoft YaHei"/>
    </x:font>
    <x:font>
      <x:i/>
      <x:sz val="10"/>
      <x:color rgb="FF4B5563"/>
      <x:name val="Microsoft YaHei"/>
    </x:font>
    <x:font>
      <x:sz val="10"/>
      <x:name val="Microsoft YaHei"/>
    </x:font>
    <x:font>
      <x:b/>
      <x:sz val="10"/>
      <x:color rgb="FF4B5563"/>
      <x:name val="Microsoft YaHei"/>
    </x:font>
    <x:font>
      <x:b/>
      <x:sz val="10"/>
      <x:color rgb="FF0F766E"/>
      <x:name val="Microsoft YaHei"/>
    </x:font>
    <x:font>
      <x:sz val="10"/>
      <x:color rgb="FF111827"/>
      <x:name val="Microsoft YaHei"/>
    </x:font>
    <x:font>
      <x:sz val="11"/>
      <x:color rgb="FF008000"/>
      <x:name val="Microsoft YaHei"/>
    </x:font>
    <x:font>
      <x:sz val="10"/>
      <x:color rgb="FF008000"/>
      <x:name val="Microsoft YaHei"/>
    </x:font>
    <x:font>
      <x:i/>
      <x:sz val="11"/>
      <x:color rgb="FF92400E"/>
      <x:name val="Microsoft YaHei"/>
    </x:font>
    <x:font>
      <x:i/>
      <x:sz val="10"/>
      <x:color rgb="FF92400E"/>
      <x:name val="Microsoft YaHei"/>
    </x:font>
    <x:font>
      <x:b/>
      <x:sz val="11"/>
      <x:color rgb="FF166534"/>
      <x:name val="Microsoft YaHei"/>
    </x:font>
    <x:font>
      <x:b/>
      <x:sz val="10"/>
      <x:color rgb="FF166534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DDF3EF"/>
      </x:patternFill>
    </x:fill>
    <x:fill>
      <x:patternFill patternType="solid">
        <x:fgColor rgb="FFFFF2CC"/>
      </x:patternFill>
    </x:fill>
    <x:fill>
      <x:patternFill patternType="solid">
        <x:fgColor rgb="FFDFF2E1"/>
      </x:patternFill>
    </x:fill>
  </x:fills>
  <x:borders count="15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bottom style="thin">
        <x:color rgb="FFD1D5DB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4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200" fontId="6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4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201" fontId="7" fillId="0" borderId="10" xfId="0" applyNumberFormat="1" applyFont="1" applyFill="1" applyBorder="1" applyAlignment="1">
      <x:alignment vertical="top" wrapText="1"/>
    </x:xf>
    <x:xf numFmtId="201" fontId="7" fillId="0" borderId="14" xfId="0" applyNumberFormat="1" applyFont="1" applyFill="1" applyBorder="1" applyAlignment="1">
      <x:alignment vertical="top" wrapText="1"/>
    </x:xf>
    <x:xf numFmtId="202" fontId="7" fillId="0" borderId="10" xfId="0" applyNumberFormat="1" applyFont="1" applyFill="1" applyBorder="1" applyAlignment="1">
      <x:alignment vertical="top" wrapText="1"/>
    </x:xf>
    <x:xf numFmtId="202" fontId="7" fillId="0" borderId="14" xfId="0" applyNumberFormat="1" applyFont="1" applyFill="1" applyBorder="1" applyAlignment="1">
      <x:alignment vertical="top" wrapText="1"/>
    </x:xf>
    <x:xf numFmtId="200" fontId="7" fillId="0" borderId="10" xfId="0" applyNumberFormat="1" applyFont="1" applyFill="1" applyBorder="1" applyAlignment="1">
      <x:alignment vertical="top" wrapText="1"/>
    </x:xf>
    <x:xf numFmtId="200" fontId="7" fillId="0" borderId="14" xfId="0" applyNumberFormat="1" applyFont="1" applyFill="1" applyBorder="1" applyAlignment="1">
      <x:alignment vertical="top" wrapText="1"/>
    </x:xf>
    <x:xf numFmtId="203" fontId="7" fillId="0" borderId="10" xfId="0" applyNumberFormat="1" applyFont="1" applyFill="1" applyBorder="1" applyAlignment="1">
      <x:alignment vertical="top" wrapText="1"/>
    </x:xf>
    <x:xf numFmtId="203" fontId="7" fillId="0" borderId="14" xfId="0" applyNumberFormat="1" applyFont="1" applyFill="1" applyBorder="1" applyAlignment="1">
      <x:alignment vertical="top" wrapText="1"/>
    </x:xf>
    <x:xf numFmtId="204" fontId="7" fillId="0" borderId="10" xfId="0" applyNumberFormat="1" applyFont="1" applyFill="1" applyBorder="1" applyAlignment="1">
      <x:alignment vertical="top" wrapText="1"/>
    </x:xf>
    <x:xf numFmtId="204" fontId="7" fillId="0" borderId="14" xfId="0" applyNumberFormat="1" applyFont="1" applyFill="1" applyBorder="1" applyAlignment="1">
      <x:alignment vertical="top" wrapText="1"/>
    </x:xf>
    <x:xf numFmtId="201" fontId="6" fillId="0" borderId="10" xfId="0" applyNumberFormat="1" applyFont="1" applyFill="1" applyBorder="1" applyAlignment="1">
      <x:alignment vertical="top" wrapText="1"/>
    </x:xf>
    <x:xf numFmtId="205" fontId="6" fillId="0" borderId="10" xfId="0" applyNumberFormat="1" applyFont="1" applyFill="1" applyBorder="1" applyAlignment="1">
      <x:alignment vertical="top" wrapText="1"/>
    </x:xf>
    <x:xf numFmtId="201" fontId="6" fillId="0" borderId="14" xfId="0" applyNumberFormat="1" applyFont="1" applyFill="1" applyBorder="1" applyAlignment="1">
      <x:alignment vertical="top" wrapText="1"/>
    </x:xf>
    <x:xf numFmtId="200" fontId="6" fillId="0" borderId="14" xfId="0" applyNumberFormat="1" applyFont="1" applyFill="1" applyBorder="1" applyAlignment="1">
      <x:alignment vertical="top" wrapText="1"/>
    </x:xf>
    <x:xf numFmtId="203" fontId="6" fillId="0" borderId="14" xfId="0" applyNumberFormat="1" applyFont="1" applyFill="1" applyBorder="1" applyAlignment="1">
      <x:alignment vertical="top" wrapText="1"/>
    </x:xf>
    <x:xf numFmtId="205" fontId="6" fillId="0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6" fontId="6" fillId="0" borderId="10" xfId="0" applyNumberFormat="1" applyFont="1" applyFill="1" applyBorder="1" applyAlignment="1">
      <x:alignment vertical="top" wrapText="1"/>
    </x:xf>
    <x:xf numFmtId="206" fontId="6" fillId="0" borderId="1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2" borderId="0" xfId="0" applyNumberFormat="1" applyFont="1" applyFill="1" applyBorder="1" applyAlignment="1">
      <x:alignment vertical="center"/>
    </x:xf>
    <x:xf numFmtId="0" fontId="14" fillId="0" borderId="1" xfId="0" applyNumberFormat="1" applyFont="1" applyFill="1" applyBorder="1" applyAlignment="1">
      <x:alignment vertical="top" wrapText="1"/>
    </x:xf>
    <x:xf numFmtId="0" fontId="12" fillId="0" borderId="2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2" fillId="0" borderId="5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  <x:xf numFmtId="0" fontId="14" fillId="0" borderId="7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vertical="top" wrapText="1"/>
    </x:xf>
    <x:xf numFmtId="0" fontId="12" fillId="0" borderId="9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5" fillId="0" borderId="10" xfId="0" applyNumberFormat="1" applyFont="1" applyFill="1" applyBorder="1" applyAlignment="1">
      <x:alignment vertical="center" wrapText="1"/>
    </x:xf>
    <x:xf numFmtId="0" fontId="12" fillId="0" borderId="10" xfId="0" applyNumberFormat="1" applyFont="1" applyFill="1" applyBorder="1" applyAlignment="1">
      <x:alignment vertical="center" wrapText="1"/>
    </x:xf>
    <x:xf numFmtId="0" fontId="13" fillId="4" borderId="11" xfId="0" applyNumberFormat="1" applyFont="1" applyFill="1" applyBorder="1" applyAlignment="1">
      <x:alignment vertical="center" wrapText="1"/>
    </x:xf>
    <x:xf numFmtId="0" fontId="13" fillId="4" borderId="12" xfId="0" applyNumberFormat="1" applyFont="1" applyFill="1" applyBorder="1" applyAlignment="1">
      <x:alignment vertical="center" wrapText="1"/>
    </x:xf>
    <x:xf numFmtId="0" fontId="13" fillId="4" borderId="13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top" wrapText="1"/>
    </x:xf>
    <x:xf numFmtId="200" fontId="16" fillId="0" borderId="10" xfId="0" applyNumberFormat="1" applyFont="1" applyFill="1" applyBorder="1" applyAlignment="1">
      <x:alignment vertical="top" wrapText="1"/>
    </x:xf>
    <x:xf numFmtId="0" fontId="16" fillId="0" borderId="14" xfId="0" applyNumberFormat="1" applyFont="1" applyFill="1" applyBorder="1" applyAlignment="1">
      <x:alignment vertical="top" wrapText="1"/>
    </x:xf>
    <x:xf numFmtId="0" fontId="15" fillId="5" borderId="0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 applyAlignment="1">
      <x:alignment vertical="center"/>
    </x:xf>
    <x:xf numFmtId="0" fontId="18" fillId="3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20" fillId="0" borderId="1" xfId="0" applyNumberFormat="1" applyFont="1" applyFill="1" applyBorder="1" applyAlignment="1">
      <x:alignment vertical="top" wrapText="1"/>
    </x:xf>
    <x:xf numFmtId="0" fontId="19" fillId="0" borderId="2" xfId="0" applyNumberFormat="1" applyFont="1" applyFill="1" applyBorder="1" applyAlignment="1">
      <x:alignment vertical="top" wrapText="1"/>
    </x:xf>
    <x:xf numFmtId="0" fontId="20" fillId="0" borderId="2" xfId="0" applyNumberFormat="1" applyFont="1" applyFill="1" applyBorder="1" applyAlignment="1">
      <x:alignment vertical="top" wrapText="1"/>
    </x:xf>
    <x:xf numFmtId="0" fontId="19" fillId="0" borderId="3" xfId="0" applyNumberFormat="1" applyFont="1" applyFill="1" applyBorder="1" applyAlignment="1">
      <x:alignment vertical="top" wrapText="1"/>
    </x:xf>
    <x:xf numFmtId="0" fontId="20" fillId="0" borderId="4" xfId="0" applyNumberFormat="1" applyFont="1" applyFill="1" applyBorder="1" applyAlignment="1">
      <x:alignment vertical="top" wrapText="1"/>
    </x:xf>
    <x:xf numFmtId="0" fontId="19" fillId="0" borderId="5" xfId="0" applyNumberFormat="1" applyFont="1" applyFill="1" applyBorder="1" applyAlignment="1">
      <x:alignment vertical="top" wrapText="1"/>
    </x:xf>
    <x:xf numFmtId="0" fontId="20" fillId="0" borderId="5" xfId="0" applyNumberFormat="1" applyFont="1" applyFill="1" applyBorder="1" applyAlignment="1">
      <x:alignment vertical="top" wrapText="1"/>
    </x:xf>
    <x:xf numFmtId="0" fontId="19" fillId="0" borderId="6" xfId="0" applyNumberFormat="1" applyFont="1" applyFill="1" applyBorder="1" applyAlignment="1">
      <x:alignment vertical="top" wrapText="1"/>
    </x:xf>
    <x:xf numFmtId="0" fontId="20" fillId="0" borderId="7" xfId="0" applyNumberFormat="1" applyFont="1" applyFill="1" applyBorder="1" applyAlignment="1">
      <x:alignment vertical="top" wrapText="1"/>
    </x:xf>
    <x:xf numFmtId="0" fontId="19" fillId="0" borderId="8" xfId="0" applyNumberFormat="1" applyFont="1" applyFill="1" applyBorder="1" applyAlignment="1">
      <x:alignment vertical="top" wrapText="1"/>
    </x:xf>
    <x:xf numFmtId="0" fontId="20" fillId="0" borderId="8" xfId="0" applyNumberFormat="1" applyFont="1" applyFill="1" applyBorder="1" applyAlignment="1">
      <x:alignment vertical="top" wrapText="1"/>
    </x:xf>
    <x:xf numFmtId="0" fontId="19" fillId="0" borderId="9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center" wrapText="1"/>
    </x:xf>
    <x:xf numFmtId="0" fontId="21" fillId="0" borderId="10" xfId="0" applyNumberFormat="1" applyFont="1" applyFill="1" applyBorder="1" applyAlignment="1">
      <x:alignment vertical="center" wrapText="1"/>
    </x:xf>
    <x:xf numFmtId="0" fontId="19" fillId="0" borderId="10" xfId="0" applyNumberFormat="1" applyFont="1" applyFill="1" applyBorder="1" applyAlignment="1">
      <x:alignment vertical="center" wrapText="1"/>
    </x:xf>
    <x:xf numFmtId="0" fontId="17" fillId="4" borderId="11" xfId="0" applyNumberFormat="1" applyFont="1" applyFill="1" applyBorder="1" applyAlignment="1">
      <x:alignment vertical="center" wrapText="1"/>
    </x:xf>
    <x:xf numFmtId="0" fontId="17" fillId="4" borderId="12" xfId="0" applyNumberFormat="1" applyFont="1" applyFill="1" applyBorder="1" applyAlignment="1">
      <x:alignment vertical="center" wrapText="1"/>
    </x:xf>
    <x:xf numFmtId="0" fontId="17" fillId="4" borderId="13" xfId="0" applyNumberFormat="1" applyFont="1" applyFill="1" applyBorder="1" applyAlignment="1">
      <x:alignment vertical="center" wrapText="1"/>
    </x:xf>
    <x:xf numFmtId="0" fontId="22" fillId="0" borderId="10" xfId="0" applyNumberFormat="1" applyFont="1" applyFill="1" applyBorder="1" applyAlignment="1">
      <x:alignment vertical="top" wrapText="1"/>
    </x:xf>
    <x:xf numFmtId="200" fontId="22" fillId="0" borderId="10" xfId="0" applyNumberFormat="1" applyFont="1" applyFill="1" applyBorder="1" applyAlignment="1">
      <x:alignment vertical="top" wrapText="1"/>
    </x:xf>
    <x:xf numFmtId="0" fontId="22" fillId="0" borderId="14" xfId="0" applyNumberFormat="1" applyFont="1" applyFill="1" applyBorder="1" applyAlignment="1">
      <x:alignment vertical="top" wrapText="1"/>
    </x:xf>
    <x:xf numFmtId="0" fontId="21" fillId="5" borderId="0" xfId="0" applyNumberFormat="1" applyFont="1" applyFill="1" applyBorder="1" applyAlignment="1">
      <x:alignment horizontal="center" vertical="center" wrapText="1"/>
    </x:xf>
    <x:xf numFmtId="202" fontId="23" fillId="0" borderId="10" xfId="0" applyNumberFormat="1" applyFont="1" applyFill="1" applyBorder="1" applyAlignment="1">
      <x:alignment vertical="top" wrapText="1"/>
    </x:xf>
    <x:xf numFmtId="0" fontId="23" fillId="0" borderId="10" xfId="0" applyNumberFormat="1" applyFont="1" applyFill="1" applyBorder="1" applyAlignment="1">
      <x:alignment vertical="top" wrapText="1"/>
    </x:xf>
    <x:xf numFmtId="201" fontId="23" fillId="0" borderId="10" xfId="0" applyNumberFormat="1" applyFont="1" applyFill="1" applyBorder="1" applyAlignment="1">
      <x:alignment vertical="top" wrapText="1"/>
    </x:xf>
    <x:xf numFmtId="200" fontId="23" fillId="0" borderId="10" xfId="0" applyNumberFormat="1" applyFont="1" applyFill="1" applyBorder="1" applyAlignment="1">
      <x:alignment vertical="top" wrapText="1"/>
    </x:xf>
    <x:xf numFmtId="203" fontId="23" fillId="0" borderId="10" xfId="0" applyNumberFormat="1" applyFont="1" applyFill="1" applyBorder="1" applyAlignment="1">
      <x:alignment vertical="top" wrapText="1"/>
    </x:xf>
    <x:xf numFmtId="202" fontId="23" fillId="0" borderId="14" xfId="0" applyNumberFormat="1" applyFont="1" applyFill="1" applyBorder="1" applyAlignment="1">
      <x:alignment vertical="top" wrapText="1"/>
    </x:xf>
    <x:xf numFmtId="0" fontId="23" fillId="0" borderId="14" xfId="0" applyNumberFormat="1" applyFont="1" applyFill="1" applyBorder="1" applyAlignment="1">
      <x:alignment vertical="top" wrapText="1"/>
    </x:xf>
    <x:xf numFmtId="201" fontId="23" fillId="0" borderId="14" xfId="0" applyNumberFormat="1" applyFont="1" applyFill="1" applyBorder="1" applyAlignment="1">
      <x:alignment vertical="top" wrapText="1"/>
    </x:xf>
    <x:xf numFmtId="200" fontId="23" fillId="0" borderId="14" xfId="0" applyNumberFormat="1" applyFont="1" applyFill="1" applyBorder="1" applyAlignment="1">
      <x:alignment vertical="top" wrapText="1"/>
    </x:xf>
    <x:xf numFmtId="203" fontId="23" fillId="0" borderId="14" xfId="0" applyNumberFormat="1" applyFont="1" applyFill="1" applyBorder="1" applyAlignment="1">
      <x:alignment vertical="top" wrapText="1"/>
    </x:xf>
    <x:xf numFmtId="202" fontId="24" fillId="0" borderId="10" xfId="0" applyNumberFormat="1" applyFont="1" applyFill="1" applyBorder="1" applyAlignment="1">
      <x:alignment vertical="top" wrapText="1"/>
    </x:xf>
    <x:xf numFmtId="0" fontId="24" fillId="0" borderId="10" xfId="0" applyNumberFormat="1" applyFont="1" applyFill="1" applyBorder="1" applyAlignment="1">
      <x:alignment vertical="top" wrapText="1"/>
    </x:xf>
    <x:xf numFmtId="201" fontId="24" fillId="0" borderId="10" xfId="0" applyNumberFormat="1" applyFont="1" applyFill="1" applyBorder="1" applyAlignment="1">
      <x:alignment vertical="top" wrapText="1"/>
    </x:xf>
    <x:xf numFmtId="200" fontId="24" fillId="0" borderId="10" xfId="0" applyNumberFormat="1" applyFont="1" applyFill="1" applyBorder="1" applyAlignment="1">
      <x:alignment vertical="top" wrapText="1"/>
    </x:xf>
    <x:xf numFmtId="203" fontId="24" fillId="0" borderId="10" xfId="0" applyNumberFormat="1" applyFont="1" applyFill="1" applyBorder="1" applyAlignment="1">
      <x:alignment vertical="top" wrapText="1"/>
    </x:xf>
    <x:xf numFmtId="202" fontId="24" fillId="0" borderId="14" xfId="0" applyNumberFormat="1" applyFont="1" applyFill="1" applyBorder="1" applyAlignment="1">
      <x:alignment vertical="top" wrapText="1"/>
    </x:xf>
    <x:xf numFmtId="0" fontId="24" fillId="0" borderId="14" xfId="0" applyNumberFormat="1" applyFont="1" applyFill="1" applyBorder="1" applyAlignment="1">
      <x:alignment vertical="top" wrapText="1"/>
    </x:xf>
    <x:xf numFmtId="201" fontId="24" fillId="0" borderId="14" xfId="0" applyNumberFormat="1" applyFont="1" applyFill="1" applyBorder="1" applyAlignment="1">
      <x:alignment vertical="top" wrapText="1"/>
    </x:xf>
    <x:xf numFmtId="200" fontId="24" fillId="0" borderId="14" xfId="0" applyNumberFormat="1" applyFont="1" applyFill="1" applyBorder="1" applyAlignment="1">
      <x:alignment vertical="top" wrapText="1"/>
    </x:xf>
    <x:xf numFmtId="203" fontId="24" fillId="0" borderId="14" xfId="0" applyNumberFormat="1" applyFont="1" applyFill="1" applyBorder="1" applyAlignment="1">
      <x:alignment vertical="top" wrapText="1"/>
    </x:xf>
    <x:xf numFmtId="204" fontId="23" fillId="0" borderId="10" xfId="0" applyNumberFormat="1" applyFont="1" applyFill="1" applyBorder="1" applyAlignment="1">
      <x:alignment vertical="top" wrapText="1"/>
    </x:xf>
    <x:xf numFmtId="204" fontId="23" fillId="0" borderId="14" xfId="0" applyNumberFormat="1" applyFont="1" applyFill="1" applyBorder="1" applyAlignment="1">
      <x:alignment vertical="top" wrapText="1"/>
    </x:xf>
    <x:xf numFmtId="204" fontId="24" fillId="0" borderId="10" xfId="0" applyNumberFormat="1" applyFont="1" applyFill="1" applyBorder="1" applyAlignment="1">
      <x:alignment vertical="top" wrapText="1"/>
    </x:xf>
    <x:xf numFmtId="204" fontId="24" fillId="0" borderId="14" xfId="0" applyNumberFormat="1" applyFont="1" applyFill="1" applyBorder="1" applyAlignment="1">
      <x:alignment vertical="top" wrapText="1"/>
    </x:xf>
    <x:xf numFmtId="201" fontId="16" fillId="0" borderId="10" xfId="0" applyNumberFormat="1" applyFont="1" applyFill="1" applyBorder="1" applyAlignment="1">
      <x:alignment vertical="top" wrapText="1"/>
    </x:xf>
    <x:xf numFmtId="205" fontId="16" fillId="0" borderId="10" xfId="0" applyNumberFormat="1" applyFont="1" applyFill="1" applyBorder="1" applyAlignment="1">
      <x:alignment vertical="top" wrapText="1"/>
    </x:xf>
    <x:xf numFmtId="201" fontId="16" fillId="0" borderId="14" xfId="0" applyNumberFormat="1" applyFont="1" applyFill="1" applyBorder="1" applyAlignment="1">
      <x:alignment vertical="top" wrapText="1"/>
    </x:xf>
    <x:xf numFmtId="200" fontId="16" fillId="0" borderId="14" xfId="0" applyNumberFormat="1" applyFont="1" applyFill="1" applyBorder="1" applyAlignment="1">
      <x:alignment vertical="top" wrapText="1"/>
    </x:xf>
    <x:xf numFmtId="203" fontId="16" fillId="0" borderId="14" xfId="0" applyNumberFormat="1" applyFont="1" applyFill="1" applyBorder="1" applyAlignment="1">
      <x:alignment vertical="top" wrapText="1"/>
    </x:xf>
    <x:xf numFmtId="205" fontId="16" fillId="0" borderId="14" xfId="0" applyNumberFormat="1" applyFont="1" applyFill="1" applyBorder="1" applyAlignment="1">
      <x:alignment vertical="top" wrapText="1"/>
    </x:xf>
    <x:xf numFmtId="0" fontId="25" fillId="6" borderId="0" xfId="0" applyNumberFormat="1" applyFont="1" applyFill="1" applyBorder="1" applyAlignment="1">
      <x:alignment wrapText="1"/>
    </x:xf>
    <x:xf numFmtId="201" fontId="22" fillId="0" borderId="10" xfId="0" applyNumberFormat="1" applyFont="1" applyFill="1" applyBorder="1" applyAlignment="1">
      <x:alignment vertical="top" wrapText="1"/>
    </x:xf>
    <x:xf numFmtId="205" fontId="22" fillId="0" borderId="10" xfId="0" applyNumberFormat="1" applyFont="1" applyFill="1" applyBorder="1" applyAlignment="1">
      <x:alignment vertical="top" wrapText="1"/>
    </x:xf>
    <x:xf numFmtId="201" fontId="22" fillId="0" borderId="14" xfId="0" applyNumberFormat="1" applyFont="1" applyFill="1" applyBorder="1" applyAlignment="1">
      <x:alignment vertical="top" wrapText="1"/>
    </x:xf>
    <x:xf numFmtId="200" fontId="22" fillId="0" borderId="14" xfId="0" applyNumberFormat="1" applyFont="1" applyFill="1" applyBorder="1" applyAlignment="1">
      <x:alignment vertical="top" wrapText="1"/>
    </x:xf>
    <x:xf numFmtId="203" fontId="22" fillId="0" borderId="14" xfId="0" applyNumberFormat="1" applyFont="1" applyFill="1" applyBorder="1" applyAlignment="1">
      <x:alignment vertical="top" wrapText="1"/>
    </x:xf>
    <x:xf numFmtId="205" fontId="22" fillId="0" borderId="14" xfId="0" applyNumberFormat="1" applyFont="1" applyFill="1" applyBorder="1" applyAlignment="1">
      <x:alignment vertical="top" wrapText="1"/>
    </x:xf>
    <x:xf numFmtId="0" fontId="26" fillId="6" borderId="0" xfId="0" applyNumberFormat="1" applyFont="1" applyFill="1" applyBorder="1" applyAlignment="1">
      <x:alignment wrapText="1"/>
    </x:xf>
    <x:xf numFmtId="206" fontId="16" fillId="0" borderId="10" xfId="0" applyNumberFormat="1" applyFont="1" applyFill="1" applyBorder="1" applyAlignment="1">
      <x:alignment vertical="top" wrapText="1"/>
    </x:xf>
    <x:xf numFmtId="206" fontId="16" fillId="0" borderId="14" xfId="0" applyNumberFormat="1" applyFont="1" applyFill="1" applyBorder="1" applyAlignment="1">
      <x:alignment vertical="top" wrapText="1"/>
    </x:xf>
    <x:xf numFmtId="206" fontId="22" fillId="0" borderId="10" xfId="0" applyNumberFormat="1" applyFont="1" applyFill="1" applyBorder="1" applyAlignment="1">
      <x:alignment vertical="top" wrapText="1"/>
    </x:xf>
    <x:xf numFmtId="206" fontId="22" fillId="0" borderId="14" xfId="0" applyNumberFormat="1" applyFont="1" applyFill="1" applyBorder="1" applyAlignment="1">
      <x:alignment vertical="top" wrapText="1"/>
    </x:xf>
    <x:xf numFmtId="0" fontId="27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DFF2E1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FF2E1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5f577bfdb4c76" /><Relationship Type="http://schemas.openxmlformats.org/officeDocument/2006/relationships/theme" Target="/xl/theme/theme1.xml" Id="R431f9e99316b471b" /><Relationship Type="http://schemas.openxmlformats.org/officeDocument/2006/relationships/sharedStrings" Target="/xl/sharedStrings.xml" Id="R2a31b7bf55d04071" /><Relationship Type="http://schemas.openxmlformats.org/officeDocument/2006/relationships/worksheet" Target="/xl/worksheets/sheet1.xml" Id="R0ceb06c39d824d5e" /><Relationship Type="http://schemas.openxmlformats.org/officeDocument/2006/relationships/worksheet" Target="/xl/worksheets/sheet2.xml" Id="R78817256773d4fb1" /><Relationship Type="http://schemas.openxmlformats.org/officeDocument/2006/relationships/worksheet" Target="/xl/worksheets/sheet3.xml" Id="Ra4135621a8f34aaf" /><Relationship Type="http://schemas.openxmlformats.org/officeDocument/2006/relationships/worksheet" Target="/xl/worksheets/sheet4.xml" Id="R95c1414286f34e38" /><Relationship Type="http://schemas.openxmlformats.org/officeDocument/2006/relationships/worksheet" Target="/xl/worksheets/sheet5.xml" Id="R8275d9a8cbdf4f17" /><Relationship Type="http://schemas.openxmlformats.org/officeDocument/2006/relationships/worksheet" Target="/xl/worksheets/sheet6.xml" Id="Rb61423ad07aa4ad9" /><Relationship Type="http://schemas.openxmlformats.org/officeDocument/2006/relationships/worksheet" Target="/xl/worksheets/sheet7.xml" Id="R524baf8140744354" /><Relationship Type="http://schemas.openxmlformats.org/officeDocument/2006/relationships/worksheet" Target="/xl/worksheets/sheet8.xml" Id="R36cb716fb92c487b" /><Relationship Type="http://schemas.openxmlformats.org/officeDocument/2006/relationships/worksheet" Target="/xl/worksheets/sheet9.xml" Id="R0a6efaea939142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f8af717c7e4d3f" /><Relationship Type="http://schemas.openxmlformats.org/officeDocument/2006/relationships/chart" Target="/xl/drawings/charts/chart2.xml" Id="R52a53fb7db7d4a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各公司上市前直接股权融资轮次（轮）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融资轮次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'描述统计'!$A$33:$A$40</c:f>
              <c:strCache>
                <c:ptCount val="0"/>
              </c:strCache>
            </c:strRef>
          </c:cat>
          <c:val>
            <c:numRef>
              <c:f>'描述统计'!$B$33:$B$40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公司融资金额下限（万元，7家非空）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融资金额下限_万元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'描述统计'!$D$33:$D$39</c:f>
              <c:strCache>
                <c:ptCount val="0"/>
              </c:strCache>
            </c:strRef>
          </c:cat>
          <c:val>
            <c:numRef>
              <c:f>'描述统计'!$E$33:$E$39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f8af717c7e4d3f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a53fb7db7d4af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fed0ee7038743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26" hidden="0" customWidth="1"/>
    <x:col min="5" max="5" width="22" hidden="0" customWidth="1"/>
    <x:col min="6" max="6" width="26" hidden="0" customWidth="1"/>
    <x:col min="7" max="7" width="22" hidden="0" customWidth="1"/>
    <x:col min="8" max="8" width="26" hidden="0" customWidth="1"/>
  </x:cols>
  <x:sheetData>
    <x:row r="1" ht="32" customHeight="1">
      <x:c r="A1" s="104" t="str">
        <x:v>Week 9 · Stage 2 八家公司基础描述统计</x:v>
      </x:c>
      <x:c r="B1" s="131"/>
      <x:c r="C1" s="131"/>
      <x:c r="D1" s="131"/>
      <x:c r="E1" s="131"/>
      <x:c r="F1" s="131"/>
      <x:c r="G1" s="131"/>
      <x:c r="H1" s="131"/>
    </x:row>
    <x:row r="2" ht="32" customHeight="1">
      <x:c r="A2" s="132" t="str">
        <x:v>描述公司层、融资轮次层及支持层的数据分布；不进入候选变量定稿、推断统计、因果解释或代表性公司选择。</x:v>
      </x:c>
      <x:c r="B2" s="132"/>
      <x:c r="C2" s="132"/>
      <x:c r="D2" s="132"/>
      <x:c r="E2" s="132"/>
      <x:c r="F2" s="132"/>
      <x:c r="G2" s="132"/>
      <x:c r="H2" s="132"/>
    </x:row>
    <x:row r="3">
      <x:c r="A3" s="133"/>
      <x:c r="B3" s="133"/>
      <x:c r="C3" s="133"/>
      <x:c r="D3" s="133"/>
      <x:c r="E3" s="133"/>
      <x:c r="F3" s="133"/>
      <x:c r="G3" s="133"/>
      <x:c r="H3" s="133"/>
    </x:row>
    <x:row r="4" ht="24" customHeight="1">
      <x:c r="A4" s="131" t="str">
        <x:v>输入—处理—输出—验收</x:v>
      </x:c>
      <x:c r="B4" s="131"/>
      <x:c r="C4" s="131"/>
      <x:c r="D4" s="131"/>
      <x:c r="E4" s="131"/>
      <x:c r="F4" s="131"/>
      <x:c r="G4" s="131"/>
      <x:c r="H4" s="131"/>
    </x:row>
    <x:row r="5" ht="46" customHeight="1">
      <x:c r="A5" s="134" t="str">
        <x:v>输入</x:v>
      </x:c>
      <x:c r="B5" s="135" t="str">
        <x:v>Week8 Standard Dataset v1.0</x:v>
      </x:c>
      <x:c r="C5" s="136" t="str">
        <x:v>输入边界</x:v>
      </x:c>
      <x:c r="D5" s="135" t="str">
        <x:v>Week 8事实层只读</x:v>
      </x:c>
      <x:c r="E5" s="136" t="str">
        <x:v>阶段编号</x:v>
      </x:c>
      <x:c r="F5" s="135" t="str">
        <x:v>W9_STAGE02</x:v>
      </x:c>
      <x:c r="G5" s="136" t="str">
        <x:v>源数据SHA-256</x:v>
      </x:c>
      <x:c r="H5" s="137" t="str">
        <x:v>0967479bbe267d4b3861c80933004f128e8598fa8c8f93fd6969cf41f0dc1ba8</x:v>
      </x:c>
    </x:row>
    <x:row r="6" ht="46" customHeight="1">
      <x:c r="A6" s="138" t="str">
        <x:v>处理</x:v>
      </x:c>
      <x:c r="B6" s="139" t="str">
        <x:v>建立公司层、18轮融资、19个融资交易组成及支持层视图</x:v>
      </x:c>
      <x:c r="C6" s="140" t="str">
        <x:v>统计原则</x:v>
      </x:c>
      <x:c r="D6" s="139" t="str">
        <x:v>每项报告总N/有效N/缺失N</x:v>
      </x:c>
      <x:c r="E6" s="140" t="str">
        <x:v>金额原则</x:v>
      </x:c>
      <x:c r="F6" s="139" t="str">
        <x:v>null不转0；金额与状态并用</x:v>
      </x:c>
      <x:c r="G6" s="140" t="str">
        <x:v>推断统计</x:v>
      </x:c>
      <x:c r="H6" s="141" t="str">
        <x:v>不执行</x:v>
      </x:c>
    </x:row>
    <x:row r="7" ht="46" customHeight="1">
      <x:c r="A7" s="138" t="str">
        <x:v>输出</x:v>
      </x:c>
      <x:c r="B7" s="139" t="str">
        <x:v>连续指标描述统计、分类分布、两张比较图和复核表</x:v>
      </x:c>
      <x:c r="C7" s="140" t="str">
        <x:v>来源分层</x:v>
      </x:c>
      <x:c r="D7" s="139" t="str">
        <x:v>披露值/标准化值/计算值/研究判断继续区分</x:v>
      </x:c>
      <x:c r="E7" s="140" t="str">
        <x:v>小样本边界</x:v>
      </x:c>
      <x:c r="F7" s="139" t="str">
        <x:v>仅描述八家公司</x:v>
      </x:c>
      <x:c r="G7" s="140" t="str">
        <x:v>下一阶段</x:v>
      </x:c>
      <x:c r="H7" s="141" t="str">
        <x:v>候选研究变量开发</x:v>
      </x:c>
    </x:row>
    <x:row r="8" ht="46" customHeight="1">
      <x:c r="A8" s="142" t="str">
        <x:v>验收</x:v>
      </x:c>
      <x:c r="B8" s="143" t="str">
        <x:v>核心冻结结果一致、统计双重计算一致、公式错误为0</x:v>
      </x:c>
      <x:c r="C8" s="144" t="str">
        <x:v>进入下一阶段条件</x:v>
      </x:c>
      <x:c r="D8" s="143" t="str">
        <x:v>本阶段先经用户确认</x:v>
      </x:c>
      <x:c r="E8" s="144" t="str">
        <x:v>事实层写入</x:v>
      </x:c>
      <x:c r="F8" s="143" t="str">
        <x:v>False</x:v>
      </x:c>
      <x:c r="G8" s="144" t="str">
        <x:v>状态</x:v>
      </x:c>
      <x:c r="H8" s="145" t="str">
        <x:v>待用户验收</x:v>
      </x:c>
    </x:row>
    <x:row r="9">
      <x:c r="A9" s="133"/>
      <x:c r="B9" s="133"/>
      <x:c r="C9" s="133"/>
      <x:c r="D9" s="133"/>
      <x:c r="E9" s="133"/>
      <x:c r="F9" s="133"/>
      <x:c r="G9" s="133"/>
      <x:c r="H9" s="133"/>
    </x:row>
    <x:row r="10" ht="24" customHeight="1">
      <x:c r="A10" s="131" t="str">
        <x:v>核心观察单位</x:v>
      </x:c>
      <x:c r="B10" s="131"/>
      <x:c r="C10" s="131"/>
      <x:c r="D10" s="131"/>
      <x:c r="E10" s="131"/>
      <x:c r="F10" s="131"/>
      <x:c r="G10" s="131"/>
      <x:c r="H10" s="131"/>
    </x:row>
    <x:row r="11" ht="38" customHeight="1">
      <x:c r="A11" s="146" t="str">
        <x:v>公司层</x:v>
      </x:c>
      <x:c r="B11" s="147" t="str">
        <x:v>8家公司</x:v>
      </x:c>
      <x:c r="C11" s="147" t="str">
        <x:v>用于轮次、公司融资金额下限、转让金额下限和公司内主体数。</x:v>
      </x:c>
      <x:c r="D11" s="147" t="str"/>
      <x:c r="E11" s="146" t="str">
        <x:v>融资轮次层</x:v>
      </x:c>
      <x:c r="F11" s="147" t="str">
        <x:v>18轮</x:v>
      </x:c>
      <x:c r="G11" s="147" t="str">
        <x:v>仅使用financing_round_flag=TRUE的事件锚点。</x:v>
      </x:c>
      <x:c r="H11" s="147" t="str"/>
    </x:row>
    <x:row r="12" ht="38" customHeight="1">
      <x:c r="A12" s="146" t="str">
        <x:v>交易组成层</x:v>
      </x:c>
      <x:c r="B12" s="147" t="str">
        <x:v>19个</x:v>
      </x:c>
      <x:c r="C12" s="147" t="str">
        <x:v>CAPITAL_INCREASE或DIRECTIONAL_ISSUANCE；用于金额汇总桥接。</x:v>
      </x:c>
      <x:c r="D12" s="147" t="str"/>
      <x:c r="E12" s="146" t="str">
        <x:v>标准主体层</x:v>
      </x:c>
      <x:c r="F12" s="147" t="str">
        <x:v>69个</x:v>
      </x:c>
      <x:c r="G12" s="147" t="str">
        <x:v>身份状态分布；仅PEVC_CONFIRMED计入确认主体。</x:v>
      </x:c>
      <x:c r="H12" s="147" t="str"/>
    </x:row>
    <x:row r="13" ht="38" customHeight="1">
      <x:c r="A13" s="146" t="str">
        <x:v>路径边层</x:v>
      </x:c>
      <x:c r="B13" s="147" t="str">
        <x:v>67条</x:v>
      </x:c>
      <x:c r="C13" s="147" t="str">
        <x:v>用于直接/间接路径边分布；边数不等于投资者数。</x:v>
      </x:c>
      <x:c r="D13" s="147" t="str"/>
      <x:c r="E13" s="146" t="str">
        <x:v>证据/校验层</x:v>
      </x:c>
      <x:c r="F13" s="147" t="str">
        <x:v>支持层</x:v>
      </x:c>
      <x:c r="G13" s="147" t="str">
        <x:v>用于审计，不作为融资数量。</x:v>
      </x:c>
      <x:c r="H13" s="147" t="str"/>
    </x:row>
    <x:row r="14" ht="38" customHeight="1">
      <x:c r="A14" s="148" t="str">
        <x:v>统计规则</x:v>
      </x:c>
      <x:c r="B14" s="149" t="str">
        <x:v>连续指标</x:v>
      </x:c>
      <x:c r="C14" s="149" t="str">
        <x:v>总N、有效N、缺失N、总和、均值、中位数、Q1、Q3、最小值、最大值。</x:v>
      </x:c>
      <x:c r="D14" s="149" t="str"/>
      <x:c r="E14" s="148" t="str">
        <x:v>分类指标</x:v>
      </x:c>
      <x:c r="F14" s="149" t="str">
        <x:v>频数与占比</x:v>
      </x:c>
      <x:c r="G14" s="149" t="str">
        <x:v>分母严格对应其观察单位。</x:v>
      </x:c>
      <x:c r="H14" s="149" t="str"/>
    </x:row>
    <x:row r="15">
      <x:c r="A15" s="133"/>
      <x:c r="B15" s="133"/>
      <x:c r="C15" s="133"/>
      <x:c r="D15" s="133"/>
      <x:c r="E15" s="133"/>
      <x:c r="F15" s="133"/>
      <x:c r="G15" s="133"/>
      <x:c r="H15" s="133"/>
    </x:row>
    <x:row r="16" ht="24" customHeight="1">
      <x:c r="A16" s="131" t="str">
        <x:v>金额层级汇总桥</x:v>
      </x:c>
      <x:c r="B16" s="131"/>
      <x:c r="C16" s="131"/>
      <x:c r="D16" s="131"/>
      <x:c r="E16" s="131"/>
      <x:c r="F16" s="131"/>
      <x:c r="G16" s="131"/>
      <x:c r="H16" s="131"/>
    </x:row>
    <x:row r="17" ht="48" customHeight="1">
      <x:c r="A17" s="150" t="str">
        <x:v>层级</x:v>
      </x:c>
      <x:c r="B17" s="151" t="str">
        <x:v>公司层冻结汇总</x:v>
      </x:c>
      <x:c r="C17" s="151" t="str">
        <x:v>融资交易组成层</x:v>
      </x:c>
      <x:c r="D17" s="151" t="str">
        <x:v>18轮事件锚点层</x:v>
      </x:c>
      <x:c r="E17" s="151" t="str">
        <x:v>公司层－轮次层</x:v>
      </x:c>
      <x:c r="F17" s="151" t="str">
        <x:v>差异来源</x:v>
      </x:c>
      <x:c r="G17" s="151" t="str">
        <x:v>是否修改Week 8</x:v>
      </x:c>
      <x:c r="H17" s="152" t="str">
        <x:v>结论</x:v>
      </x:c>
    </x:row>
    <x:row r="18" ht="48" customHeight="1">
      <x:c r="A18" s="153" t="str">
        <x:v>金额（万元）</x:v>
      </x:c>
      <x:c r="B18" s="154" t="n">
        <x:f>SUM('公司层视图'!$D$5:$D$12)</x:f>
        <x:v>173663.58827399998</x:v>
      </x:c>
      <x:c r="C18" s="154" t="n">
        <x:f>SUM('交易组成视图'!$F$5:$F$23)</x:f>
        <x:v>173663.58827399998</x:v>
      </x:c>
      <x:c r="D18" s="154" t="n">
        <x:f>SUM('融资轮次视图'!$I$5:$I$22)</x:f>
        <x:v>173543.58827399998</x:v>
      </x:c>
      <x:c r="E18" s="154" t="n">
        <x:f>B18-D18</x:f>
        <x:v>120</x:v>
      </x:c>
      <x:c r="F18" s="153" t="str">
        <x:v>云汉芯城CE-010分组中的TRX-301563-INC-007，金额120万元；该交易组成未并入被标记为融资轮的事件锚点金额。</x:v>
      </x:c>
      <x:c r="G18" s="153" t="str">
        <x:v>False</x:v>
      </x:c>
      <x:c r="H18" s="153" t="str">
        <x:v>分别报告，不强行抹平</x:v>
      </x:c>
    </x:row>
    <x:row r="19" ht="48" customHeight="1">
      <x:c r="A19" s="155" t="str">
        <x:v>含义</x:v>
      </x:c>
      <x:c r="B19" s="155" t="str">
        <x:v>最终冻结核心金额</x:v>
      </x:c>
      <x:c r="C19" s="155" t="str">
        <x:v>融资性交易组成金额合计</x:v>
      </x:c>
      <x:c r="D19" s="155" t="str">
        <x:v>18个融资轮事件行的非空金额合计</x:v>
      </x:c>
      <x:c r="E19" s="155" t="str">
        <x:v>层级映射差额</x:v>
      </x:c>
      <x:c r="F19" s="155" t="str">
        <x:v>属于已冻结数据结构中的层级表现，不是本周新异常。</x:v>
      </x:c>
      <x:c r="G19" s="155" t="str"/>
      <x:c r="H19" s="155" t="str"/>
    </x:row>
    <x:row r="20" ht="48" customHeight="1">
      <x:c r="A20" s="155" t="str">
        <x:v>使用规则</x:v>
      </x:c>
      <x:c r="B20" s="155" t="str">
        <x:v>公司级金额统计以公司层冻结汇总为准</x:v>
      </x:c>
      <x:c r="C20" s="155" t="str">
        <x:v>用于复核公司总额</x:v>
      </x:c>
      <x:c r="D20" s="155" t="str">
        <x:v>仅用于单轮事件锚点金额的描述统计</x:v>
      </x:c>
      <x:c r="E20" s="155" t="str">
        <x:v>不得把120解释为新融资</x:v>
      </x:c>
      <x:c r="F20" s="155" t="str"/>
      <x:c r="G20" s="155" t="str"/>
      <x:c r="H20" s="155" t="str"/>
    </x:row>
    <x:row r="21">
      <x:c r="A21" s="133"/>
      <x:c r="B21" s="133"/>
      <x:c r="C21" s="133"/>
      <x:c r="D21" s="133"/>
      <x:c r="E21" s="133"/>
      <x:c r="F21" s="133"/>
      <x:c r="G21" s="133"/>
      <x:c r="H21" s="133"/>
    </x:row>
    <x:row r="22" ht="24" customHeight="1">
      <x:c r="A22" s="131" t="str">
        <x:v>本阶段的解释边界</x:v>
      </x:c>
      <x:c r="B22" s="131"/>
      <x:c r="C22" s="131"/>
      <x:c r="D22" s="131"/>
      <x:c r="E22" s="131"/>
      <x:c r="F22" s="131"/>
      <x:c r="G22" s="131"/>
      <x:c r="H22" s="131"/>
    </x:row>
    <x:row r="23" ht="30" customHeight="1">
      <x:c r="A23" s="156" t="str">
        <x:v>1</x:v>
      </x:c>
      <x:c r="B23" s="147" t="str">
        <x:v>均值和中位数只描述当前8家公司，不代表全部IPO公司。</x:v>
      </x:c>
      <x:c r="C23" s="147" t="str"/>
      <x:c r="D23" s="147" t="str"/>
      <x:c r="E23" s="147" t="str"/>
      <x:c r="F23" s="147" t="str"/>
      <x:c r="G23" s="147" t="str"/>
      <x:c r="H23" s="147" t="str"/>
    </x:row>
    <x:row r="24" ht="30" customHeight="1">
      <x:c r="A24" s="156" t="str">
        <x:v>2</x:v>
      </x:c>
      <x:c r="B24" s="147" t="str">
        <x:v>公司融资金额统计的有效N为7；影石创新的null不能参与均值，也不能补0。</x:v>
      </x:c>
      <x:c r="C24" s="147" t="str"/>
      <x:c r="D24" s="147" t="str"/>
      <x:c r="E24" s="147" t="str"/>
      <x:c r="F24" s="147" t="str"/>
      <x:c r="G24" s="147" t="str"/>
      <x:c r="H24" s="147" t="str"/>
    </x:row>
    <x:row r="25" ht="30" customHeight="1">
      <x:c r="A25" s="156" t="str">
        <x:v>3</x:v>
      </x:c>
      <x:c r="B25" s="147" t="str">
        <x:v>股权转让金额只有4家公司有可用值；其中一个明确披露0，其他null不等于0。</x:v>
      </x:c>
      <x:c r="C25" s="147" t="str"/>
      <x:c r="D25" s="147" t="str"/>
      <x:c r="E25" s="147" t="str"/>
      <x:c r="F25" s="147" t="str"/>
      <x:c r="G25" s="147" t="str"/>
      <x:c r="H25" s="147" t="str"/>
    </x:row>
    <x:row r="26" ht="30" customHeight="1">
      <x:c r="A26" s="156" t="str">
        <x:v>4</x:v>
      </x:c>
      <x:c r="B26" s="147" t="str">
        <x:v>确认PE/VC主体数是法律主体计数，不等同于投资体系、品牌或基金管理人数量。</x:v>
      </x:c>
      <x:c r="C26" s="147" t="str"/>
      <x:c r="D26" s="147" t="str"/>
      <x:c r="E26" s="147" t="str"/>
      <x:c r="F26" s="147" t="str"/>
      <x:c r="G26" s="147" t="str"/>
      <x:c r="H26" s="147" t="str"/>
    </x:row>
    <x:row r="27" ht="30" customHeight="1">
      <x:c r="A27" s="156" t="str">
        <x:v>5</x:v>
      </x:c>
      <x:c r="B27" s="147" t="str">
        <x:v>融资轮次金额的有效N为14/18；轮次层合计不是Week 8冻结核心融资金额。</x:v>
      </x:c>
      <x:c r="C27" s="147" t="str"/>
      <x:c r="D27" s="147" t="str"/>
      <x:c r="E27" s="147" t="str"/>
      <x:c r="F27" s="147" t="str"/>
      <x:c r="G27" s="147" t="str"/>
      <x:c r="H27" s="147" t="str"/>
    </x:row>
    <x:row r="28" ht="30" customHeight="1">
      <x:c r="A28" s="156" t="str">
        <x:v>6</x:v>
      </x:c>
      <x:c r="B28" s="147" t="str">
        <x:v>本阶段不根据描述性差异判断融资好坏，也不提出因果关系。</x:v>
      </x:c>
      <x:c r="C28" s="147" t="str"/>
      <x:c r="D28" s="147" t="str"/>
      <x:c r="E28" s="147" t="str"/>
      <x:c r="F28" s="147" t="str"/>
      <x:c r="G28" s="147" t="str"/>
      <x:c r="H28" s="147" t="str"/>
    </x:row>
  </x:sheetData>
  <x:mergeCells>
    <x:mergeCell ref="A1:H1"/>
    <x:mergeCell ref="A2:H2"/>
    <x:mergeCell ref="A4:H4"/>
    <x:mergeCell ref="A10:H10"/>
    <x:mergeCell ref="C11:D11"/>
    <x:mergeCell ref="G11:H11"/>
    <x:mergeCell ref="C12:D12"/>
    <x:mergeCell ref="G12:H12"/>
    <x:mergeCell ref="C13:D13"/>
    <x:mergeCell ref="G13:H13"/>
    <x:mergeCell ref="C14:D14"/>
    <x:mergeCell ref="G14:H14"/>
    <x:mergeCell ref="A16:H16"/>
    <x:mergeCell ref="A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2" hidden="0" customWidth="1"/>
    <x:col min="5" max="5" width="26" hidden="0" customWidth="1"/>
    <x:col min="6" max="6" width="22" hidden="0" customWidth="1"/>
    <x:col min="7" max="7" width="30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22" hidden="0" customWidth="1"/>
    <x:col min="13" max="13" width="46" hidden="0" customWidth="1"/>
    <x:col min="14" max="14" width="48" hidden="0" customWidth="1"/>
  </x:cols>
  <x:sheetData>
    <x:row r="1" ht="32" customHeight="1">
      <x:c r="A1" s="104" t="str">
        <x:v>公司层分析视图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</x:row>
    <x:row r="2" ht="32" customHeight="1">
      <x:c r="A2" s="132" t="str">
        <x:v>每行1家公司；由Week 8 companies表和融资事件/交易组成计数只读派生。金额null保留为空。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  <x:c r="N2" s="132"/>
    </x:row>
    <x:row r="3">
      <x:c r="A3" s="133"/>
      <x:c r="B3" s="133"/>
      <x:c r="C3" s="133"/>
      <x:c r="D3" s="133"/>
      <x:c r="E3" s="133"/>
      <x:c r="F3" s="133"/>
      <x:c r="G3" s="133"/>
      <x:c r="H3" s="133"/>
      <x:c r="I3" s="133"/>
      <x:c r="J3" s="133"/>
      <x:c r="K3" s="133"/>
      <x:c r="L3" s="133"/>
      <x:c r="M3" s="133"/>
      <x:c r="N3" s="133"/>
    </x:row>
    <x:row r="4" ht="32" customHeight="1">
      <x:c r="A4" s="150" t="str">
        <x:v>company_id</x:v>
      </x:c>
      <x:c r="B4" s="151" t="str">
        <x:v>公司名称</x:v>
      </x:c>
      <x:c r="C4" s="151" t="str">
        <x:v>融资轮次</x:v>
      </x:c>
      <x:c r="D4" s="151" t="str">
        <x:v>融资金额下限_万元</x:v>
      </x:c>
      <x:c r="E4" s="151" t="str">
        <x:v>融资金额状态</x:v>
      </x:c>
      <x:c r="F4" s="151" t="str">
        <x:v>转让对价下限_万元</x:v>
      </x:c>
      <x:c r="G4" s="151" t="str">
        <x:v>转让金额状态</x:v>
      </x:c>
      <x:c r="H4" s="151" t="str">
        <x:v>直接法律主体数</x:v>
      </x:c>
      <x:c r="I4" s="151" t="str">
        <x:v>确认PEVC法律主体数</x:v>
      </x:c>
      <x:c r="J4" s="151" t="str">
        <x:v>已知金额轮次</x:v>
      </x:c>
      <x:c r="K4" s="151" t="str">
        <x:v>缺失金额轮次</x:v>
      </x:c>
      <x:c r="L4" s="151" t="str">
        <x:v>融资交易组成数</x:v>
      </x:c>
      <x:c r="M4" s="151" t="str">
        <x:v>披露限制</x:v>
      </x:c>
      <x:c r="N4" s="152" t="str">
        <x:v>主要证据</x:v>
      </x:c>
    </x:row>
    <x:row r="5" ht="48" customHeight="1">
      <x:c r="A5" s="167" t="str">
        <x:v>301563</x:v>
      </x:c>
      <x:c r="B5" s="168" t="str">
        <x:v>云汉芯城</x:v>
      </x:c>
      <x:c r="C5" s="169" t="n">
        <x:v>7</x:v>
      </x:c>
      <x:c r="D5" s="170" t="n">
        <x:v>27120</x:v>
      </x:c>
      <x:c r="E5" s="168" t="str">
        <x:v>KNOWN_LOWER_BOUND</x:v>
      </x:c>
      <x:c r="F5" s="171" t="n">
        <x:v>13018.1954</x:v>
      </x:c>
      <x:c r="G5" s="168" t="str">
        <x:v>KNOWN_LOWER_BOUND</x:v>
      </x:c>
      <x:c r="H5" s="169" t="n">
        <x:v>35</x:v>
      </x:c>
      <x:c r="I5" s="169" t="n">
        <x:v>12</x:v>
      </x:c>
      <x:c r="J5" s="169" t="n">
        <x:v>3</x:v>
      </x:c>
      <x:c r="K5" s="169" t="n">
        <x:v>4</x:v>
      </x:c>
      <x:c r="L5" s="169" t="n">
        <x:v>8</x:v>
      </x:c>
      <x:c r="M5" s="168" t="str">
        <x:v>融资金额和转让金额均存在未披露组成部分</x:v>
      </x:c>
      <x:c r="N5" s="168" t="str">
        <x:v>PDF第56—65页/正文第55—64页；投资关系PDF第82—91页</x:v>
      </x:c>
    </x:row>
    <x:row r="6" ht="48" customHeight="1">
      <x:c r="A6" s="172" t="str">
        <x:v>001282</x:v>
      </x:c>
      <x:c r="B6" s="173" t="str">
        <x:v>三联锻造</x:v>
      </x:c>
      <x:c r="C6" s="174" t="n">
        <x:v>1</x:v>
      </x:c>
      <x:c r="D6" s="175" t="n">
        <x:v>1566</x:v>
      </x:c>
      <x:c r="E6" s="173" t="str">
        <x:v>DISCLOSED_COMPLETE</x:v>
      </x:c>
      <x:c r="F6" s="176"/>
      <x:c r="G6" s="173" t="str">
        <x:v>NOT_APPLICABLE</x:v>
      </x:c>
      <x:c r="H6" s="174" t="n">
        <x:v>1</x:v>
      </x:c>
      <x:c r="I6" s="174" t="n">
        <x:v>0</x:v>
      </x:c>
      <x:c r="J6" s="174" t="n">
        <x:v>1</x:v>
      </x:c>
      <x:c r="K6" s="174" t="n">
        <x:v>0</x:v>
      </x:c>
      <x:c r="L6" s="174" t="n">
        <x:v>1</x:v>
      </x:c>
      <x:c r="M6" s="173" t="str">
        <x:v>部分历史事项为聚合披露，不强行拆分</x:v>
      </x:c>
      <x:c r="N6" s="173" t="str">
        <x:v>PDF第35页/正文第34页；股份支付PDF第39页/正文第38页</x:v>
      </x:c>
    </x:row>
    <x:row r="7" ht="48" customHeight="1">
      <x:c r="A7" s="172" t="str">
        <x:v>301581</x:v>
      </x:c>
      <x:c r="B7" s="173" t="str">
        <x:v>黄山谷捷</x:v>
      </x:c>
      <x:c r="C7" s="174" t="n">
        <x:v>2</x:v>
      </x:c>
      <x:c r="D7" s="175" t="n">
        <x:v>13655.098274</x:v>
      </x:c>
      <x:c r="E7" s="173" t="str">
        <x:v>DISCLOSED_COMPLETE</x:v>
      </x:c>
      <x:c r="F7" s="176" t="n">
        <x:v>0</x:v>
      </x:c>
      <x:c r="G7" s="173" t="str">
        <x:v>DISCLOSED_COMPLETE</x:v>
      </x:c>
      <x:c r="H7" s="174" t="n">
        <x:v>6</x:v>
      </x:c>
      <x:c r="I7" s="174" t="n">
        <x:v>0</x:v>
      </x:c>
      <x:c r="J7" s="174" t="n">
        <x:v>2</x:v>
      </x:c>
      <x:c r="K7" s="174" t="n">
        <x:v>0</x:v>
      </x:c>
      <x:c r="L7" s="174" t="n">
        <x:v>2</x:v>
      </x:c>
      <x:c r="M7" s="173" t="str"/>
      <x:c r="N7" s="173" t="str">
        <x:v>PDF第42—45页/正文第41—44页</x:v>
      </x:c>
    </x:row>
    <x:row r="8" ht="48" customHeight="1">
      <x:c r="A8" s="172" t="str">
        <x:v>603418</x:v>
      </x:c>
      <x:c r="B8" s="173" t="str">
        <x:v>友升股份</x:v>
      </x:c>
      <x:c r="C8" s="174" t="n">
        <x:v>2</x:v>
      </x:c>
      <x:c r="D8" s="175" t="n">
        <x:v>48500</x:v>
      </x:c>
      <x:c r="E8" s="173" t="str">
        <x:v>DISCLOSED_COMPLETE</x:v>
      </x:c>
      <x:c r="F8" s="176"/>
      <x:c r="G8" s="173" t="str">
        <x:v>NOT_APPLICABLE</x:v>
      </x:c>
      <x:c r="H8" s="174" t="n">
        <x:v>13</x:v>
      </x:c>
      <x:c r="I8" s="174" t="n">
        <x:v>2</x:v>
      </x:c>
      <x:c r="J8" s="174" t="n">
        <x:v>2</x:v>
      </x:c>
      <x:c r="K8" s="174" t="n">
        <x:v>0</x:v>
      </x:c>
      <x:c r="L8" s="174" t="n">
        <x:v>2</x:v>
      </x:c>
      <x:c r="M8" s="173" t="str"/>
      <x:c r="N8" s="173" t="str">
        <x:v>融资PDF第44—46页；基金性质PDF第70—73页；一致行动关系PDF第81页</x:v>
      </x:c>
    </x:row>
    <x:row r="9" ht="48" customHeight="1">
      <x:c r="A9" s="172" t="str">
        <x:v>688758</x:v>
      </x:c>
      <x:c r="B9" s="173" t="str">
        <x:v>赛分科技</x:v>
      </x:c>
      <x:c r="C9" s="174" t="n">
        <x:v>3</x:v>
      </x:c>
      <x:c r="D9" s="175" t="n">
        <x:v>74000</x:v>
      </x:c>
      <x:c r="E9" s="173" t="str">
        <x:v>DISCLOSED_COMPLETE</x:v>
      </x:c>
      <x:c r="F9" s="176" t="n">
        <x:v>3000</x:v>
      </x:c>
      <x:c r="G9" s="173" t="str">
        <x:v>DISCLOSED_COMPLETE</x:v>
      </x:c>
      <x:c r="H9" s="174" t="n">
        <x:v>17</x:v>
      </x:c>
      <x:c r="I9" s="174" t="n">
        <x:v>0</x:v>
      </x:c>
      <x:c r="J9" s="174" t="n">
        <x:v>3</x:v>
      </x:c>
      <x:c r="K9" s="174" t="n">
        <x:v>0</x:v>
      </x:c>
      <x:c r="L9" s="174" t="n">
        <x:v>3</x:v>
      </x:c>
      <x:c r="M9" s="173" t="str"/>
      <x:c r="N9" s="173" t="str">
        <x:v>PDF第55—60页/正文第54—59页</x:v>
      </x:c>
    </x:row>
    <x:row r="10" ht="48" customHeight="1">
      <x:c r="A10" s="172" t="str">
        <x:v>688775</x:v>
      </x:c>
      <x:c r="B10" s="173" t="str">
        <x:v>影石创新</x:v>
      </x:c>
      <x:c r="C10" s="174" t="n">
        <x:v>0</x:v>
      </x:c>
      <x:c r="D10" s="175"/>
      <x:c r="E10" s="173" t="str">
        <x:v>HISTORICAL_NOT_RECONSTRUCTIBLE</x:v>
      </x:c>
      <x:c r="F10" s="176" t="n">
        <x:v>1462.7126</x:v>
      </x:c>
      <x:c r="G10" s="173" t="str">
        <x:v>KNOWN_LOWER_BOUND</x:v>
      </x:c>
      <x:c r="H10" s="174" t="n">
        <x:v>1</x:v>
      </x:c>
      <x:c r="I10" s="174" t="n">
        <x:v>0</x:v>
      </x:c>
      <x:c r="J10" s="174" t="n">
        <x:v>0</x:v>
      </x:c>
      <x:c r="K10" s="174" t="n">
        <x:v>0</x:v>
      </x:c>
      <x:c r="L10" s="174" t="n">
        <x:v>0</x:v>
      </x:c>
      <x:c r="M10" s="173" t="str">
        <x:v>早期融资轮次未逐轮披露</x:v>
      </x:c>
      <x:c r="N10" s="173" t="str">
        <x:v>PDF第62—65页/正文第62—65页</x:v>
      </x:c>
    </x:row>
    <x:row r="11" ht="48" customHeight="1">
      <x:c r="A11" s="172" t="str">
        <x:v>920100</x:v>
      </x:c>
      <x:c r="B11" s="173" t="str">
        <x:v>三协电机</x:v>
      </x:c>
      <x:c r="C11" s="174" t="n">
        <x:v>2</x:v>
      </x:c>
      <x:c r="D11" s="175" t="n">
        <x:v>4097.49</x:v>
      </x:c>
      <x:c r="E11" s="173" t="str">
        <x:v>DISCLOSED_COMPLETE</x:v>
      </x:c>
      <x:c r="F11" s="176"/>
      <x:c r="G11" s="173" t="str">
        <x:v>NOT_APPLICABLE</x:v>
      </x:c>
      <x:c r="H11" s="174" t="n">
        <x:v>17</x:v>
      </x:c>
      <x:c r="I11" s="174" t="n">
        <x:v>2</x:v>
      </x:c>
      <x:c r="J11" s="174" t="n">
        <x:v>2</x:v>
      </x:c>
      <x:c r="K11" s="174" t="n">
        <x:v>0</x:v>
      </x:c>
      <x:c r="L11" s="174" t="n">
        <x:v>2</x:v>
      </x:c>
      <x:c r="M11" s="173" t="str"/>
      <x:c r="N11" s="173" t="str">
        <x:v>PDF第31—32、39、250、325—326、359页</x:v>
      </x:c>
    </x:row>
    <x:row r="12" ht="48" customHeight="1">
      <x:c r="A12" s="172" t="str">
        <x:v>920116</x:v>
      </x:c>
      <x:c r="B12" s="173" t="str">
        <x:v>星图测控</x:v>
      </x:c>
      <x:c r="C12" s="174" t="n">
        <x:v>1</x:v>
      </x:c>
      <x:c r="D12" s="175" t="n">
        <x:v>4725</x:v>
      </x:c>
      <x:c r="E12" s="173" t="str">
        <x:v>DISCLOSED_COMPLETE</x:v>
      </x:c>
      <x:c r="F12" s="176"/>
      <x:c r="G12" s="173" t="str">
        <x:v>NOT_APPLICABLE</x:v>
      </x:c>
      <x:c r="H12" s="174" t="n">
        <x:v>3</x:v>
      </x:c>
      <x:c r="I12" s="174" t="n">
        <x:v>0</x:v>
      </x:c>
      <x:c r="J12" s="174" t="n">
        <x:v>1</x:v>
      </x:c>
      <x:c r="K12" s="174" t="n">
        <x:v>0</x:v>
      </x:c>
      <x:c r="L12" s="174" t="n">
        <x:v>1</x:v>
      </x:c>
      <x:c r="M12" s="173" t="str"/>
      <x:c r="N12" s="173" t="str">
        <x:v>PDF第35—36页/正文第35—36页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2" hidden="0" customWidth="1"/>
    <x:col min="5" max="5" width="18" hidden="0" customWidth="1"/>
    <x:col min="6" max="6" width="10" hidden="0" customWidth="1"/>
    <x:col min="7" max="7" width="14" hidden="0" customWidth="1"/>
    <x:col min="8" max="8" width="24" hidden="0" customWidth="1"/>
    <x:col min="9" max="9" width="22" hidden="0" customWidth="1"/>
    <x:col min="10" max="10" width="24" hidden="0" customWidth="1"/>
    <x:col min="11" max="11" width="22" hidden="0" customWidth="1"/>
    <x:col min="12" max="12" width="22" hidden="0" customWidth="1"/>
    <x:col min="13" max="13" width="18" hidden="0" customWidth="1"/>
    <x:col min="14" max="14" width="18" hidden="0" customWidth="1"/>
  </x:cols>
  <x:sheetData>
    <x:row r="1" ht="32" customHeight="1">
      <x:c r="A1" s="104" t="str">
        <x:v>融资轮次分析视图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</x:row>
    <x:row r="2" ht="32" customHeight="1">
      <x:c r="A2" s="132" t="str">
        <x:v>每行1个financing_round_flag=TRUE的事件锚点，共18轮；金额字段仅代表该事件行已物化的可核验金额。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  <x:c r="N2" s="132"/>
    </x:row>
    <x:row r="3">
      <x:c r="A3" s="133"/>
      <x:c r="B3" s="133"/>
      <x:c r="C3" s="133"/>
      <x:c r="D3" s="133"/>
      <x:c r="E3" s="133"/>
      <x:c r="F3" s="133"/>
      <x:c r="G3" s="133"/>
      <x:c r="H3" s="133"/>
      <x:c r="I3" s="133"/>
      <x:c r="J3" s="133"/>
      <x:c r="K3" s="133"/>
      <x:c r="L3" s="133"/>
      <x:c r="M3" s="133"/>
      <x:c r="N3" s="133"/>
    </x:row>
    <x:row r="4" ht="32" customHeight="1">
      <x:c r="A4" s="150" t="str">
        <x:v>event_id</x:v>
      </x:c>
      <x:c r="B4" s="151" t="str">
        <x:v>company_id</x:v>
      </x:c>
      <x:c r="C4" s="151" t="str">
        <x:v>公司名称</x:v>
      </x:c>
      <x:c r="D4" s="151" t="str">
        <x:v>事件序号</x:v>
      </x:c>
      <x:c r="E4" s="151" t="str">
        <x:v>标准化日期</x:v>
      </x:c>
      <x:c r="F4" s="151" t="str">
        <x:v>年份</x:v>
      </x:c>
      <x:c r="G4" s="151" t="str">
        <x:v>日期精度</x:v>
      </x:c>
      <x:c r="H4" s="151" t="str">
        <x:v>融资事件类型</x:v>
      </x:c>
      <x:c r="I4" s="151" t="str">
        <x:v>融资金额_万元</x:v>
      </x:c>
      <x:c r="J4" s="151" t="str">
        <x:v>金额状态</x:v>
      </x:c>
      <x:c r="K4" s="151" t="str">
        <x:v>金额来源类型</x:v>
      </x:c>
      <x:c r="L4" s="151" t="str">
        <x:v>主要证据ID</x:v>
      </x:c>
      <x:c r="M4" s="151" t="str">
        <x:v>记录来源</x:v>
      </x:c>
      <x:c r="N4" s="152" t="str">
        <x:v>复核状态</x:v>
      </x:c>
    </x:row>
    <x:row r="5" ht="34" customHeight="1">
      <x:c r="A5" s="167" t="str">
        <x:v>EVT-001282-0003</x:v>
      </x:c>
      <x:c r="B5" s="167" t="str">
        <x:v>001282</x:v>
      </x:c>
      <x:c r="C5" s="168" t="str">
        <x:v>三联锻造</x:v>
      </x:c>
      <x:c r="D5" s="169" t="n">
        <x:v>3</x:v>
      </x:c>
      <x:c r="E5" s="168" t="str">
        <x:v>2019-12</x:v>
      </x:c>
      <x:c r="F5" s="179" t="n">
        <x:v>2019</x:v>
      </x:c>
      <x:c r="G5" s="168" t="str">
        <x:v>MONTH</x:v>
      </x:c>
      <x:c r="H5" s="168" t="str">
        <x:v>CAPITAL_INCREASE</x:v>
      </x:c>
      <x:c r="I5" s="170" t="n">
        <x:v>1566</x:v>
      </x:c>
      <x:c r="J5" s="168" t="str">
        <x:v>DISCLOSED_COMPLETE</x:v>
      </x:c>
      <x:c r="K5" s="168" t="str">
        <x:v>CALCULATED</x:v>
      </x:c>
      <x:c r="L5" s="168" t="str">
        <x:v>EVD-001282-0004-01</x:v>
      </x:c>
      <x:c r="M5" s="168" t="str">
        <x:v>SOURCE_GOLD</x:v>
      </x:c>
      <x:c r="N5" s="168" t="str">
        <x:v>FINAL_APPROVED</x:v>
      </x:c>
    </x:row>
    <x:row r="6" ht="34" customHeight="1">
      <x:c r="A6" s="172" t="str">
        <x:v>CE-002-02</x:v>
      </x:c>
      <x:c r="B6" s="172" t="str">
        <x:v>301563</x:v>
      </x:c>
      <x:c r="C6" s="173" t="str">
        <x:v>云汉芯城</x:v>
      </x:c>
      <x:c r="D6" s="174" t="n">
        <x:v>4</x:v>
      </x:c>
      <x:c r="E6" s="173" t="str">
        <x:v>2009-12</x:v>
      </x:c>
      <x:c r="F6" s="180" t="n">
        <x:v>2009</x:v>
      </x:c>
      <x:c r="G6" s="173" t="str">
        <x:v>MONTH</x:v>
      </x:c>
      <x:c r="H6" s="173" t="str">
        <x:v>CAPITAL_INCREASE</x:v>
      </x:c>
      <x:c r="I6" s="175"/>
      <x:c r="J6" s="173" t="str">
        <x:v>NOT_DISCLOSED</x:v>
      </x:c>
      <x:c r="K6" s="173" t="str"/>
      <x:c r="L6" s="173" t="str">
        <x:v>CE-002-E01</x:v>
      </x:c>
      <x:c r="M6" s="173" t="str">
        <x:v>RECOVERED_PROJECT_ARTIFACT</x:v>
      </x:c>
      <x:c r="N6" s="173" t="str">
        <x:v>FINAL_APPROVED</x:v>
      </x:c>
    </x:row>
    <x:row r="7" ht="34" customHeight="1">
      <x:c r="A7" s="172" t="str">
        <x:v>CE-004</x:v>
      </x:c>
      <x:c r="B7" s="172" t="str">
        <x:v>301563</x:v>
      </x:c>
      <x:c r="C7" s="173" t="str">
        <x:v>云汉芯城</x:v>
      </x:c>
      <x:c r="D7" s="174" t="n">
        <x:v>6</x:v>
      </x:c>
      <x:c r="E7" s="173" t="str">
        <x:v>2014-08</x:v>
      </x:c>
      <x:c r="F7" s="180" t="n">
        <x:v>2014</x:v>
      </x:c>
      <x:c r="G7" s="173" t="str">
        <x:v>MONTH</x:v>
      </x:c>
      <x:c r="H7" s="173" t="str">
        <x:v>CAPITAL_INCREASE</x:v>
      </x:c>
      <x:c r="I7" s="175"/>
      <x:c r="J7" s="173" t="str">
        <x:v>NOT_DISCLOSED</x:v>
      </x:c>
      <x:c r="K7" s="173" t="str"/>
      <x:c r="L7" s="173" t="str">
        <x:v>CE-004-E01</x:v>
      </x:c>
      <x:c r="M7" s="173" t="str">
        <x:v>RECOVERED_PROJECT_ARTIFACT</x:v>
      </x:c>
      <x:c r="N7" s="173" t="str">
        <x:v>FINAL_APPROVED</x:v>
      </x:c>
    </x:row>
    <x:row r="8" ht="34" customHeight="1">
      <x:c r="A8" s="172" t="str">
        <x:v>CE-005</x:v>
      </x:c>
      <x:c r="B8" s="172" t="str">
        <x:v>301563</x:v>
      </x:c>
      <x:c r="C8" s="173" t="str">
        <x:v>云汉芯城</x:v>
      </x:c>
      <x:c r="D8" s="174" t="n">
        <x:v>7</x:v>
      </x:c>
      <x:c r="E8" s="173" t="str">
        <x:v>2015-01</x:v>
      </x:c>
      <x:c r="F8" s="180" t="n">
        <x:v>2015</x:v>
      </x:c>
      <x:c r="G8" s="173" t="str">
        <x:v>MONTH</x:v>
      </x:c>
      <x:c r="H8" s="173" t="str">
        <x:v>CAPITAL_INCREASE</x:v>
      </x:c>
      <x:c r="I8" s="175"/>
      <x:c r="J8" s="173" t="str">
        <x:v>NOT_DISCLOSED</x:v>
      </x:c>
      <x:c r="K8" s="173" t="str"/>
      <x:c r="L8" s="173" t="str">
        <x:v>CE-005-E01</x:v>
      </x:c>
      <x:c r="M8" s="173" t="str">
        <x:v>RECOVERED_PROJECT_ARTIFACT</x:v>
      </x:c>
      <x:c r="N8" s="173" t="str">
        <x:v>FINAL_APPROVED</x:v>
      </x:c>
    </x:row>
    <x:row r="9" ht="34" customHeight="1">
      <x:c r="A9" s="172" t="str">
        <x:v>CE-007</x:v>
      </x:c>
      <x:c r="B9" s="172" t="str">
        <x:v>301563</x:v>
      </x:c>
      <x:c r="C9" s="173" t="str">
        <x:v>云汉芯城</x:v>
      </x:c>
      <x:c r="D9" s="174" t="n">
        <x:v>9</x:v>
      </x:c>
      <x:c r="E9" s="173" t="str">
        <x:v>2015-08</x:v>
      </x:c>
      <x:c r="F9" s="180" t="n">
        <x:v>2015</x:v>
      </x:c>
      <x:c r="G9" s="173" t="str">
        <x:v>MONTH</x:v>
      </x:c>
      <x:c r="H9" s="173" t="str">
        <x:v>CAPITAL_INCREASE</x:v>
      </x:c>
      <x:c r="I9" s="175"/>
      <x:c r="J9" s="173" t="str">
        <x:v>NOT_DISCLOSED</x:v>
      </x:c>
      <x:c r="K9" s="173" t="str"/>
      <x:c r="L9" s="173" t="str">
        <x:v>CE-007-E01</x:v>
      </x:c>
      <x:c r="M9" s="173" t="str">
        <x:v>RECOVERED_PROJECT_ARTIFACT</x:v>
      </x:c>
      <x:c r="N9" s="173" t="str">
        <x:v>FINAL_APPROVED</x:v>
      </x:c>
    </x:row>
    <x:row r="10" ht="34" customHeight="1">
      <x:c r="A10" s="172" t="str">
        <x:v>CE-012</x:v>
      </x:c>
      <x:c r="B10" s="172" t="str">
        <x:v>301563</x:v>
      </x:c>
      <x:c r="C10" s="173" t="str">
        <x:v>云汉芯城</x:v>
      </x:c>
      <x:c r="D10" s="174" t="n">
        <x:v>15</x:v>
      </x:c>
      <x:c r="E10" s="173" t="str">
        <x:v>2020-05</x:v>
      </x:c>
      <x:c r="F10" s="180" t="n">
        <x:v>2020</x:v>
      </x:c>
      <x:c r="G10" s="173" t="str">
        <x:v>MONTH</x:v>
      </x:c>
      <x:c r="H10" s="173" t="str">
        <x:v>CAPITAL_INCREASE</x:v>
      </x:c>
      <x:c r="I10" s="175" t="n">
        <x:v>5000</x:v>
      </x:c>
      <x:c r="J10" s="173" t="str">
        <x:v>DISCLOSED_COMPLETE</x:v>
      </x:c>
      <x:c r="K10" s="173" t="str">
        <x:v>DISCLOSED</x:v>
      </x:c>
      <x:c r="L10" s="173" t="str">
        <x:v>CE-012-E01</x:v>
      </x:c>
      <x:c r="M10" s="173" t="str">
        <x:v>RECOVERED_PROJECT_ARTIFACT</x:v>
      </x:c>
      <x:c r="N10" s="173" t="str">
        <x:v>FINAL_APPROVED</x:v>
      </x:c>
    </x:row>
    <x:row r="11" ht="34" customHeight="1">
      <x:c r="A11" s="172" t="str">
        <x:v>CE-013-01</x:v>
      </x:c>
      <x:c r="B11" s="172" t="str">
        <x:v>301563</x:v>
      </x:c>
      <x:c r="C11" s="173" t="str">
        <x:v>云汉芯城</x:v>
      </x:c>
      <x:c r="D11" s="174" t="n">
        <x:v>17</x:v>
      </x:c>
      <x:c r="E11" s="173" t="str">
        <x:v>2020-09</x:v>
      </x:c>
      <x:c r="F11" s="180" t="n">
        <x:v>2020</x:v>
      </x:c>
      <x:c r="G11" s="173" t="str">
        <x:v>MONTH</x:v>
      </x:c>
      <x:c r="H11" s="173" t="str">
        <x:v>CAPITAL_INCREASE</x:v>
      </x:c>
      <x:c r="I11" s="175" t="n">
        <x:v>7000</x:v>
      </x:c>
      <x:c r="J11" s="173" t="str">
        <x:v>DISCLOSED_COMPLETE</x:v>
      </x:c>
      <x:c r="K11" s="173" t="str">
        <x:v>CALCULATED</x:v>
      </x:c>
      <x:c r="L11" s="173" t="str">
        <x:v>CE-013-E01</x:v>
      </x:c>
      <x:c r="M11" s="173" t="str">
        <x:v>RECOVERED_PROJECT_ARTIFACT</x:v>
      </x:c>
      <x:c r="N11" s="173" t="str">
        <x:v>FINAL_APPROVED</x:v>
      </x:c>
    </x:row>
    <x:row r="12" ht="34" customHeight="1">
      <x:c r="A12" s="172" t="str">
        <x:v>CE-010-01</x:v>
      </x:c>
      <x:c r="B12" s="172" t="str">
        <x:v>301563</x:v>
      </x:c>
      <x:c r="C12" s="173" t="str">
        <x:v>云汉芯城</x:v>
      </x:c>
      <x:c r="D12" s="174" t="n">
        <x:v>20</x:v>
      </x:c>
      <x:c r="E12" s="173" t="str"/>
      <x:c r="F12" s="180"/>
      <x:c r="G12" s="173" t="str">
        <x:v>UNKNOWN</x:v>
      </x:c>
      <x:c r="H12" s="173" t="str">
        <x:v>CAPITAL_INCREASE</x:v>
      </x:c>
      <x:c r="I12" s="175" t="n">
        <x:v>15000</x:v>
      </x:c>
      <x:c r="J12" s="173" t="str">
        <x:v>DISCLOSED_COMPLETE</x:v>
      </x:c>
      <x:c r="K12" s="173" t="str">
        <x:v>CALCULATED</x:v>
      </x:c>
      <x:c r="L12" s="173" t="str">
        <x:v>CE-010-E01</x:v>
      </x:c>
      <x:c r="M12" s="173" t="str">
        <x:v>RECOVERED_PROJECT_ARTIFACT</x:v>
      </x:c>
      <x:c r="N12" s="173" t="str">
        <x:v>FINAL_APPROVED</x:v>
      </x:c>
    </x:row>
    <x:row r="13" ht="34" customHeight="1">
      <x:c r="A13" s="172" t="str">
        <x:v>EVT-301581-0004</x:v>
      </x:c>
      <x:c r="B13" s="172" t="str">
        <x:v>301581</x:v>
      </x:c>
      <x:c r="C13" s="173" t="str">
        <x:v>黄山谷捷</x:v>
      </x:c>
      <x:c r="D13" s="174" t="n">
        <x:v>4</x:v>
      </x:c>
      <x:c r="E13" s="173" t="str">
        <x:v>2021-11</x:v>
      </x:c>
      <x:c r="F13" s="180" t="n">
        <x:v>2021</x:v>
      </x:c>
      <x:c r="G13" s="173" t="str">
        <x:v>MONTH</x:v>
      </x:c>
      <x:c r="H13" s="173" t="str">
        <x:v>CAPITAL_INCREASE</x:v>
      </x:c>
      <x:c r="I13" s="175" t="n">
        <x:v>11530.285394</x:v>
      </x:c>
      <x:c r="J13" s="173" t="str">
        <x:v>DISCLOSED_COMPLETE</x:v>
      </x:c>
      <x:c r="K13" s="173" t="str">
        <x:v>CALCULATED</x:v>
      </x:c>
      <x:c r="L13" s="173" t="str">
        <x:v>EVD-301581-0004-01</x:v>
      </x:c>
      <x:c r="M13" s="173" t="str">
        <x:v>SOURCE_GOLD</x:v>
      </x:c>
      <x:c r="N13" s="173" t="str">
        <x:v>FINAL_APPROVED</x:v>
      </x:c>
    </x:row>
    <x:row r="14" ht="34" customHeight="1">
      <x:c r="A14" s="172" t="str">
        <x:v>EVT-301581-0005</x:v>
      </x:c>
      <x:c r="B14" s="172" t="str">
        <x:v>301581</x:v>
      </x:c>
      <x:c r="C14" s="173" t="str">
        <x:v>黄山谷捷</x:v>
      </x:c>
      <x:c r="D14" s="174" t="n">
        <x:v>5</x:v>
      </x:c>
      <x:c r="E14" s="173" t="str">
        <x:v>2022-05</x:v>
      </x:c>
      <x:c r="F14" s="180" t="n">
        <x:v>2022</x:v>
      </x:c>
      <x:c r="G14" s="173" t="str">
        <x:v>MONTH</x:v>
      </x:c>
      <x:c r="H14" s="173" t="str">
        <x:v>CAPITAL_INCREASE</x:v>
      </x:c>
      <x:c r="I14" s="175" t="n">
        <x:v>2124.81288</x:v>
      </x:c>
      <x:c r="J14" s="173" t="str">
        <x:v>DISCLOSED_COMPLETE</x:v>
      </x:c>
      <x:c r="K14" s="173" t="str">
        <x:v>CALCULATED</x:v>
      </x:c>
      <x:c r="L14" s="173" t="str">
        <x:v>EVD-301581-0005-01</x:v>
      </x:c>
      <x:c r="M14" s="173" t="str">
        <x:v>SOURCE_GOLD</x:v>
      </x:c>
      <x:c r="N14" s="173" t="str">
        <x:v>FINAL_APPROVED</x:v>
      </x:c>
    </x:row>
    <x:row r="15" ht="34" customHeight="1">
      <x:c r="A15" s="172" t="str">
        <x:v>EVT-603418-0003</x:v>
      </x:c>
      <x:c r="B15" s="172" t="str">
        <x:v>603418</x:v>
      </x:c>
      <x:c r="C15" s="173" t="str">
        <x:v>友升股份</x:v>
      </x:c>
      <x:c r="D15" s="174" t="n">
        <x:v>2</x:v>
      </x:c>
      <x:c r="E15" s="173" t="str">
        <x:v>2020-09</x:v>
      </x:c>
      <x:c r="F15" s="180" t="n">
        <x:v>2020</x:v>
      </x:c>
      <x:c r="G15" s="173" t="str">
        <x:v>MONTH</x:v>
      </x:c>
      <x:c r="H15" s="173" t="str">
        <x:v>CAPITAL_INCREASE</x:v>
      </x:c>
      <x:c r="I15" s="175" t="n">
        <x:v>11500</x:v>
      </x:c>
      <x:c r="J15" s="173" t="str">
        <x:v>DISCLOSED_COMPLETE</x:v>
      </x:c>
      <x:c r="K15" s="173" t="str">
        <x:v>CALCULATED</x:v>
      </x:c>
      <x:c r="L15" s="173" t="str">
        <x:v>EVD-603418-0004-01</x:v>
      </x:c>
      <x:c r="M15" s="173" t="str">
        <x:v>SOURCE_GOLD</x:v>
      </x:c>
      <x:c r="N15" s="173" t="str">
        <x:v>FINAL_APPROVED</x:v>
      </x:c>
    </x:row>
    <x:row r="16" ht="34" customHeight="1">
      <x:c r="A16" s="172" t="str">
        <x:v>EVT-603418-0004</x:v>
      </x:c>
      <x:c r="B16" s="172" t="str">
        <x:v>603418</x:v>
      </x:c>
      <x:c r="C16" s="173" t="str">
        <x:v>友升股份</x:v>
      </x:c>
      <x:c r="D16" s="174" t="n">
        <x:v>4</x:v>
      </x:c>
      <x:c r="E16" s="173" t="str">
        <x:v>2022-12</x:v>
      </x:c>
      <x:c r="F16" s="180" t="n">
        <x:v>2022</x:v>
      </x:c>
      <x:c r="G16" s="173" t="str">
        <x:v>MONTH</x:v>
      </x:c>
      <x:c r="H16" s="173" t="str">
        <x:v>CAPITAL_INCREASE</x:v>
      </x:c>
      <x:c r="I16" s="175" t="n">
        <x:v>37000</x:v>
      </x:c>
      <x:c r="J16" s="173" t="str">
        <x:v>DISCLOSED_COMPLETE</x:v>
      </x:c>
      <x:c r="K16" s="173" t="str">
        <x:v>DISCLOSED</x:v>
      </x:c>
      <x:c r="L16" s="173" t="str">
        <x:v>EVD-603418-0005-01</x:v>
      </x:c>
      <x:c r="M16" s="173" t="str">
        <x:v>SOURCE_GOLD</x:v>
      </x:c>
      <x:c r="N16" s="173" t="str">
        <x:v>FINAL_APPROVED</x:v>
      </x:c>
    </x:row>
    <x:row r="17" ht="34" customHeight="1">
      <x:c r="A17" s="172" t="str">
        <x:v>EVT-688758-0003</x:v>
      </x:c>
      <x:c r="B17" s="172" t="str">
        <x:v>688758</x:v>
      </x:c>
      <x:c r="C17" s="173" t="str">
        <x:v>赛分科技</x:v>
      </x:c>
      <x:c r="D17" s="174" t="n">
        <x:v>2</x:v>
      </x:c>
      <x:c r="E17" s="173" t="str">
        <x:v>2021-04</x:v>
      </x:c>
      <x:c r="F17" s="180" t="n">
        <x:v>2021</x:v>
      </x:c>
      <x:c r="G17" s="173" t="str">
        <x:v>MONTH</x:v>
      </x:c>
      <x:c r="H17" s="173" t="str">
        <x:v>COMPOUND</x:v>
      </x:c>
      <x:c r="I17" s="175" t="n">
        <x:v>18500</x:v>
      </x:c>
      <x:c r="J17" s="173" t="str">
        <x:v>DISCLOSED_COMPLETE</x:v>
      </x:c>
      <x:c r="K17" s="173" t="str">
        <x:v>DISCLOSED</x:v>
      </x:c>
      <x:c r="L17" s="173" t="str">
        <x:v>EVD-688758-0003-01</x:v>
      </x:c>
      <x:c r="M17" s="173" t="str">
        <x:v>SOURCE_GOLD</x:v>
      </x:c>
      <x:c r="N17" s="173" t="str">
        <x:v>FINAL_APPROVED</x:v>
      </x:c>
    </x:row>
    <x:row r="18" ht="34" customHeight="1">
      <x:c r="A18" s="172" t="str">
        <x:v>EVT-688758-0005</x:v>
      </x:c>
      <x:c r="B18" s="172" t="str">
        <x:v>688758</x:v>
      </x:c>
      <x:c r="C18" s="173" t="str">
        <x:v>赛分科技</x:v>
      </x:c>
      <x:c r="D18" s="174" t="n">
        <x:v>5</x:v>
      </x:c>
      <x:c r="E18" s="173" t="str">
        <x:v>2021-11</x:v>
      </x:c>
      <x:c r="F18" s="180" t="n">
        <x:v>2021</x:v>
      </x:c>
      <x:c r="G18" s="173" t="str">
        <x:v>MONTH</x:v>
      </x:c>
      <x:c r="H18" s="173" t="str">
        <x:v>CAPITAL_INCREASE</x:v>
      </x:c>
      <x:c r="I18" s="175" t="n">
        <x:v>54000</x:v>
      </x:c>
      <x:c r="J18" s="173" t="str">
        <x:v>DISCLOSED_COMPLETE</x:v>
      </x:c>
      <x:c r="K18" s="173" t="str">
        <x:v>DISCLOSED</x:v>
      </x:c>
      <x:c r="L18" s="173" t="str">
        <x:v>EVD-688758-0005-01</x:v>
      </x:c>
      <x:c r="M18" s="173" t="str">
        <x:v>SOURCE_GOLD</x:v>
      </x:c>
      <x:c r="N18" s="173" t="str">
        <x:v>FINAL_APPROVED</x:v>
      </x:c>
    </x:row>
    <x:row r="19" ht="34" customHeight="1">
      <x:c r="A19" s="172" t="str">
        <x:v>EVT-688758-0006</x:v>
      </x:c>
      <x:c r="B19" s="172" t="str">
        <x:v>688758</x:v>
      </x:c>
      <x:c r="C19" s="173" t="str">
        <x:v>赛分科技</x:v>
      </x:c>
      <x:c r="D19" s="174" t="n">
        <x:v>6</x:v>
      </x:c>
      <x:c r="E19" s="173" t="str">
        <x:v>2021-12</x:v>
      </x:c>
      <x:c r="F19" s="180" t="n">
        <x:v>2021</x:v>
      </x:c>
      <x:c r="G19" s="173" t="str">
        <x:v>MONTH</x:v>
      </x:c>
      <x:c r="H19" s="173" t="str">
        <x:v>CAPITAL_INCREASE</x:v>
      </x:c>
      <x:c r="I19" s="175" t="n">
        <x:v>1500</x:v>
      </x:c>
      <x:c r="J19" s="173" t="str">
        <x:v>DISCLOSED_COMPLETE</x:v>
      </x:c>
      <x:c r="K19" s="173" t="str">
        <x:v>DISCLOSED</x:v>
      </x:c>
      <x:c r="L19" s="173" t="str">
        <x:v>EVD-688758-0006-01</x:v>
      </x:c>
      <x:c r="M19" s="173" t="str">
        <x:v>SOURCE_GOLD</x:v>
      </x:c>
      <x:c r="N19" s="173" t="str">
        <x:v>FINAL_APPROVED</x:v>
      </x:c>
    </x:row>
    <x:row r="20" ht="34" customHeight="1">
      <x:c r="A20" s="172" t="str">
        <x:v>W7-OVR-920100-2022-DI</x:v>
      </x:c>
      <x:c r="B20" s="172" t="str">
        <x:v>920100</x:v>
      </x:c>
      <x:c r="C20" s="173" t="str">
        <x:v>三协电机</x:v>
      </x:c>
      <x:c r="D20" s="174" t="n">
        <x:v>2</x:v>
      </x:c>
      <x:c r="E20" s="173" t="str">
        <x:v>2022-09-01</x:v>
      </x:c>
      <x:c r="F20" s="180" t="n">
        <x:v>2022</x:v>
      </x:c>
      <x:c r="G20" s="173" t="str">
        <x:v>DAY</x:v>
      </x:c>
      <x:c r="H20" s="173" t="str">
        <x:v>DIRECTIONAL_ISSUANCE</x:v>
      </x:c>
      <x:c r="I20" s="175" t="n">
        <x:v>2374.4</x:v>
      </x:c>
      <x:c r="J20" s="173" t="str">
        <x:v>DISCLOSED_COMPLETE</x:v>
      </x:c>
      <x:c r="K20" s="173" t="str">
        <x:v>DISCLOSED</x:v>
      </x:c>
      <x:c r="L20" s="173" t="str"/>
      <x:c r="M20" s="173" t="str">
        <x:v>WEEK7_ACCEPTED_OVERRIDE</x:v>
      </x:c>
      <x:c r="N20" s="173" t="str">
        <x:v>FINAL_APPROVED</x:v>
      </x:c>
    </x:row>
    <x:row r="21" ht="34" customHeight="1">
      <x:c r="A21" s="172" t="str">
        <x:v>W7-OVR-920100-2023-DI</x:v>
      </x:c>
      <x:c r="B21" s="172" t="str">
        <x:v>920100</x:v>
      </x:c>
      <x:c r="C21" s="173" t="str">
        <x:v>三协电机</x:v>
      </x:c>
      <x:c r="D21" s="174" t="n">
        <x:v>3</x:v>
      </x:c>
      <x:c r="E21" s="173" t="str">
        <x:v>2023-10-23</x:v>
      </x:c>
      <x:c r="F21" s="180" t="n">
        <x:v>2023</x:v>
      </x:c>
      <x:c r="G21" s="173" t="str">
        <x:v>DAY</x:v>
      </x:c>
      <x:c r="H21" s="173" t="str">
        <x:v>DIRECTIONAL_ISSUANCE</x:v>
      </x:c>
      <x:c r="I21" s="175" t="n">
        <x:v>1723.09</x:v>
      </x:c>
      <x:c r="J21" s="173" t="str">
        <x:v>DISCLOSED_COMPLETE</x:v>
      </x:c>
      <x:c r="K21" s="173" t="str">
        <x:v>DISCLOSED</x:v>
      </x:c>
      <x:c r="L21" s="173" t="str"/>
      <x:c r="M21" s="173" t="str">
        <x:v>WEEK7_ACCEPTED_OVERRIDE</x:v>
      </x:c>
      <x:c r="N21" s="173" t="str">
        <x:v>FINAL_APPROVED</x:v>
      </x:c>
    </x:row>
    <x:row r="22" ht="34" customHeight="1">
      <x:c r="A22" s="172" t="str">
        <x:v>EVT-920116-0001</x:v>
      </x:c>
      <x:c r="B22" s="172" t="str">
        <x:v>920116</x:v>
      </x:c>
      <x:c r="C22" s="173" t="str">
        <x:v>星图测控</x:v>
      </x:c>
      <x:c r="D22" s="174" t="n">
        <x:v>1</x:v>
      </x:c>
      <x:c r="E22" s="173" t="str">
        <x:v>2023-05-16</x:v>
      </x:c>
      <x:c r="F22" s="180" t="n">
        <x:v>2023</x:v>
      </x:c>
      <x:c r="G22" s="173" t="str">
        <x:v>DAY</x:v>
      </x:c>
      <x:c r="H22" s="173" t="str">
        <x:v>DIRECTIONAL_ISSUANCE</x:v>
      </x:c>
      <x:c r="I22" s="175" t="n">
        <x:v>4725</x:v>
      </x:c>
      <x:c r="J22" s="173" t="str">
        <x:v>DISCLOSED_COMPLETE</x:v>
      </x:c>
      <x:c r="K22" s="173" t="str">
        <x:v>DISCLOSED</x:v>
      </x:c>
      <x:c r="L22" s="173" t="str">
        <x:v>EVD-920116-0001-01</x:v>
      </x:c>
      <x:c r="M22" s="173" t="str">
        <x:v>SOURCE_GOLD</x:v>
      </x:c>
      <x:c r="N22" s="173" t="str">
        <x:v>FINAL_APPROVED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8" hidden="0" customWidth="1"/>
    <x:col min="5" max="5" width="24" hidden="0" customWidth="1"/>
    <x:col min="6" max="6" width="22" hidden="0" customWidth="1"/>
    <x:col min="7" max="7" width="24" hidden="0" customWidth="1"/>
    <x:col min="8" max="8" width="26" hidden="0" customWidth="1"/>
    <x:col min="9" max="9" width="22" hidden="0" customWidth="1"/>
    <x:col min="10" max="10" width="24" hidden="0" customWidth="1"/>
  </x:cols>
  <x:sheetData>
    <x:row r="1" ht="32" customHeight="1">
      <x:c r="A1" s="104" t="str">
        <x:v>融资交易组成视图</x:v>
      </x:c>
      <x:c r="B1" s="131"/>
      <x:c r="C1" s="131"/>
      <x:c r="D1" s="131"/>
      <x:c r="E1" s="131"/>
      <x:c r="F1" s="131"/>
      <x:c r="G1" s="131"/>
      <x:c r="H1" s="131"/>
      <x:c r="I1" s="131"/>
      <x:c r="J1" s="131"/>
    </x:row>
    <x:row r="2" ht="32" customHeight="1">
      <x:c r="A2" s="132" t="str">
        <x:v>每行为一个CAPITAL_INCREASE或DIRECTIONAL_ISSUANCE交易组成，共19个；用于桥接公司层融资金额。</x:v>
      </x:c>
      <x:c r="B2" s="132"/>
      <x:c r="C2" s="132"/>
      <x:c r="D2" s="132"/>
      <x:c r="E2" s="132"/>
      <x:c r="F2" s="132"/>
      <x:c r="G2" s="132"/>
      <x:c r="H2" s="132"/>
      <x:c r="I2" s="132"/>
      <x:c r="J2" s="132"/>
    </x:row>
    <x:row r="3">
      <x:c r="A3" s="133"/>
      <x:c r="B3" s="133"/>
      <x:c r="C3" s="133"/>
      <x:c r="D3" s="133"/>
      <x:c r="E3" s="133"/>
      <x:c r="F3" s="133"/>
      <x:c r="G3" s="133"/>
      <x:c r="H3" s="133"/>
      <x:c r="I3" s="133"/>
      <x:c r="J3" s="133"/>
    </x:row>
    <x:row r="4" ht="32" customHeight="1">
      <x:c r="A4" s="150" t="str">
        <x:v>transaction_id</x:v>
      </x:c>
      <x:c r="B4" s="151" t="str">
        <x:v>event_id</x:v>
      </x:c>
      <x:c r="C4" s="151" t="str">
        <x:v>company_id</x:v>
      </x:c>
      <x:c r="D4" s="151" t="str">
        <x:v>公司名称</x:v>
      </x:c>
      <x:c r="E4" s="151" t="str">
        <x:v>交易类型</x:v>
      </x:c>
      <x:c r="F4" s="151" t="str">
        <x:v>交易金额_万元</x:v>
      </x:c>
      <x:c r="G4" s="151" t="str">
        <x:v>金额状态</x:v>
      </x:c>
      <x:c r="H4" s="151" t="str">
        <x:v>进入方式</x:v>
      </x:c>
      <x:c r="I4" s="151" t="str">
        <x:v>金额来源类型</x:v>
      </x:c>
      <x:c r="J4" s="152" t="str">
        <x:v>主要证据ID</x:v>
      </x:c>
    </x:row>
    <x:row r="5" ht="34" customHeight="1">
      <x:c r="A5" s="167" t="str">
        <x:v>TRX-001282-0003-01</x:v>
      </x:c>
      <x:c r="B5" s="167" t="str">
        <x:v>EVT-001282-0003</x:v>
      </x:c>
      <x:c r="C5" s="167" t="str">
        <x:v>001282</x:v>
      </x:c>
      <x:c r="D5" s="168" t="str">
        <x:v>三联锻造</x:v>
      </x:c>
      <x:c r="E5" s="168" t="str">
        <x:v>CAPITAL_INCREASE</x:v>
      </x:c>
      <x:c r="F5" s="170" t="n">
        <x:v>1566</x:v>
      </x:c>
      <x:c r="G5" s="168" t="str">
        <x:v>DISCLOSED_COMPLETE</x:v>
      </x:c>
      <x:c r="H5" s="168" t="str">
        <x:v>CAPITAL_INCREASE_ENTRY</x:v>
      </x:c>
      <x:c r="I5" s="168" t="str">
        <x:v>CALCULATED</x:v>
      </x:c>
      <x:c r="J5" s="168" t="str">
        <x:v>EVD-001282-0004-01</x:v>
      </x:c>
    </x:row>
    <x:row r="6" ht="34" customHeight="1">
      <x:c r="A6" s="172" t="str">
        <x:v>TRX-301581-0004-01</x:v>
      </x:c>
      <x:c r="B6" s="172" t="str">
        <x:v>EVT-301581-0004</x:v>
      </x:c>
      <x:c r="C6" s="172" t="str">
        <x:v>301581</x:v>
      </x:c>
      <x:c r="D6" s="173" t="str">
        <x:v>黄山谷捷</x:v>
      </x:c>
      <x:c r="E6" s="173" t="str">
        <x:v>CAPITAL_INCREASE</x:v>
      </x:c>
      <x:c r="F6" s="175" t="n">
        <x:v>11530.285394</x:v>
      </x:c>
      <x:c r="G6" s="173" t="str">
        <x:v>DISCLOSED_COMPLETE</x:v>
      </x:c>
      <x:c r="H6" s="173" t="str">
        <x:v>CAPITAL_INCREASE_ENTRY</x:v>
      </x:c>
      <x:c r="I6" s="173" t="str">
        <x:v>CALCULATED</x:v>
      </x:c>
      <x:c r="J6" s="173" t="str">
        <x:v>EVD-301581-0004-01</x:v>
      </x:c>
    </x:row>
    <x:row r="7" ht="34" customHeight="1">
      <x:c r="A7" s="172" t="str">
        <x:v>TRX-301581-0005-01</x:v>
      </x:c>
      <x:c r="B7" s="172" t="str">
        <x:v>EVT-301581-0005</x:v>
      </x:c>
      <x:c r="C7" s="172" t="str">
        <x:v>301581</x:v>
      </x:c>
      <x:c r="D7" s="173" t="str">
        <x:v>黄山谷捷</x:v>
      </x:c>
      <x:c r="E7" s="173" t="str">
        <x:v>CAPITAL_INCREASE</x:v>
      </x:c>
      <x:c r="F7" s="175" t="n">
        <x:v>2124.81288</x:v>
      </x:c>
      <x:c r="G7" s="173" t="str">
        <x:v>DISCLOSED_COMPLETE</x:v>
      </x:c>
      <x:c r="H7" s="173" t="str">
        <x:v>CAPITAL_INCREASE_ENTRY</x:v>
      </x:c>
      <x:c r="I7" s="173" t="str">
        <x:v>CALCULATED</x:v>
      </x:c>
      <x:c r="J7" s="173" t="str">
        <x:v>EVD-301581-0005-01</x:v>
      </x:c>
    </x:row>
    <x:row r="8" ht="34" customHeight="1">
      <x:c r="A8" s="172" t="str">
        <x:v>TRX-603418-0003-01</x:v>
      </x:c>
      <x:c r="B8" s="172" t="str">
        <x:v>EVT-603418-0003</x:v>
      </x:c>
      <x:c r="C8" s="172" t="str">
        <x:v>603418</x:v>
      </x:c>
      <x:c r="D8" s="173" t="str">
        <x:v>友升股份</x:v>
      </x:c>
      <x:c r="E8" s="173" t="str">
        <x:v>CAPITAL_INCREASE</x:v>
      </x:c>
      <x:c r="F8" s="175" t="n">
        <x:v>11500</x:v>
      </x:c>
      <x:c r="G8" s="173" t="str">
        <x:v>DISCLOSED_COMPLETE</x:v>
      </x:c>
      <x:c r="H8" s="173" t="str">
        <x:v>CAPITAL_INCREASE_ENTRY</x:v>
      </x:c>
      <x:c r="I8" s="173" t="str">
        <x:v>CALCULATED</x:v>
      </x:c>
      <x:c r="J8" s="173" t="str">
        <x:v>EVD-603418-0004-01</x:v>
      </x:c>
    </x:row>
    <x:row r="9" ht="34" customHeight="1">
      <x:c r="A9" s="172" t="str">
        <x:v>TRX-603418-0004-01</x:v>
      </x:c>
      <x:c r="B9" s="172" t="str">
        <x:v>EVT-603418-0004</x:v>
      </x:c>
      <x:c r="C9" s="172" t="str">
        <x:v>603418</x:v>
      </x:c>
      <x:c r="D9" s="173" t="str">
        <x:v>友升股份</x:v>
      </x:c>
      <x:c r="E9" s="173" t="str">
        <x:v>CAPITAL_INCREASE</x:v>
      </x:c>
      <x:c r="F9" s="175" t="n">
        <x:v>37000</x:v>
      </x:c>
      <x:c r="G9" s="173" t="str">
        <x:v>DISCLOSED_COMPLETE</x:v>
      </x:c>
      <x:c r="H9" s="173" t="str">
        <x:v>CAPITAL_INCREASE_ENTRY</x:v>
      </x:c>
      <x:c r="I9" s="173" t="str">
        <x:v>DISCLOSED</x:v>
      </x:c>
      <x:c r="J9" s="173" t="str">
        <x:v>EVD-603418-0005-01</x:v>
      </x:c>
    </x:row>
    <x:row r="10" ht="34" customHeight="1">
      <x:c r="A10" s="172" t="str">
        <x:v>TRX-688758-0003-02</x:v>
      </x:c>
      <x:c r="B10" s="172" t="str">
        <x:v>EVT-688758-0003</x:v>
      </x:c>
      <x:c r="C10" s="172" t="str">
        <x:v>688758</x:v>
      </x:c>
      <x:c r="D10" s="173" t="str">
        <x:v>赛分科技</x:v>
      </x:c>
      <x:c r="E10" s="173" t="str">
        <x:v>CAPITAL_INCREASE</x:v>
      </x:c>
      <x:c r="F10" s="175" t="n">
        <x:v>18500</x:v>
      </x:c>
      <x:c r="G10" s="173" t="str">
        <x:v>DISCLOSED_COMPLETE</x:v>
      </x:c>
      <x:c r="H10" s="173" t="str">
        <x:v>CAPITAL_INCREASE_ENTRY</x:v>
      </x:c>
      <x:c r="I10" s="173" t="str">
        <x:v>DISCLOSED</x:v>
      </x:c>
      <x:c r="J10" s="173" t="str">
        <x:v>EVD-688758-0003-01</x:v>
      </x:c>
    </x:row>
    <x:row r="11" ht="34" customHeight="1">
      <x:c r="A11" s="172" t="str">
        <x:v>TRX-688758-0005-01</x:v>
      </x:c>
      <x:c r="B11" s="172" t="str">
        <x:v>EVT-688758-0005</x:v>
      </x:c>
      <x:c r="C11" s="172" t="str">
        <x:v>688758</x:v>
      </x:c>
      <x:c r="D11" s="173" t="str">
        <x:v>赛分科技</x:v>
      </x:c>
      <x:c r="E11" s="173" t="str">
        <x:v>CAPITAL_INCREASE</x:v>
      </x:c>
      <x:c r="F11" s="175" t="n">
        <x:v>54000</x:v>
      </x:c>
      <x:c r="G11" s="173" t="str">
        <x:v>DISCLOSED_COMPLETE</x:v>
      </x:c>
      <x:c r="H11" s="173" t="str">
        <x:v>CAPITAL_INCREASE_ENTRY</x:v>
      </x:c>
      <x:c r="I11" s="173" t="str">
        <x:v>DISCLOSED</x:v>
      </x:c>
      <x:c r="J11" s="173" t="str">
        <x:v>EVD-688758-0005-01</x:v>
      </x:c>
    </x:row>
    <x:row r="12" ht="34" customHeight="1">
      <x:c r="A12" s="172" t="str">
        <x:v>TRX-688758-0006-01</x:v>
      </x:c>
      <x:c r="B12" s="172" t="str">
        <x:v>EVT-688758-0006</x:v>
      </x:c>
      <x:c r="C12" s="172" t="str">
        <x:v>688758</x:v>
      </x:c>
      <x:c r="D12" s="173" t="str">
        <x:v>赛分科技</x:v>
      </x:c>
      <x:c r="E12" s="173" t="str">
        <x:v>CAPITAL_INCREASE</x:v>
      </x:c>
      <x:c r="F12" s="175" t="n">
        <x:v>1500</x:v>
      </x:c>
      <x:c r="G12" s="173" t="str">
        <x:v>DISCLOSED_COMPLETE</x:v>
      </x:c>
      <x:c r="H12" s="173" t="str">
        <x:v>CAPITAL_INCREASE_ENTRY</x:v>
      </x:c>
      <x:c r="I12" s="173" t="str">
        <x:v>DISCLOSED</x:v>
      </x:c>
      <x:c r="J12" s="173" t="str">
        <x:v>EVD-688758-0006-01</x:v>
      </x:c>
    </x:row>
    <x:row r="13" ht="34" customHeight="1">
      <x:c r="A13" s="172" t="str">
        <x:v>TRX-920116-0001-01</x:v>
      </x:c>
      <x:c r="B13" s="172" t="str">
        <x:v>EVT-920116-0001</x:v>
      </x:c>
      <x:c r="C13" s="172" t="str">
        <x:v>920116</x:v>
      </x:c>
      <x:c r="D13" s="173" t="str">
        <x:v>星图测控</x:v>
      </x:c>
      <x:c r="E13" s="173" t="str">
        <x:v>DIRECTIONAL_ISSUANCE</x:v>
      </x:c>
      <x:c r="F13" s="175" t="n">
        <x:v>4725</x:v>
      </x:c>
      <x:c r="G13" s="173" t="str">
        <x:v>DISCLOSED_COMPLETE</x:v>
      </x:c>
      <x:c r="H13" s="173" t="str">
        <x:v>DIRECTIONAL_ISSUANCE_ENTRY</x:v>
      </x:c>
      <x:c r="I13" s="173" t="str">
        <x:v>DISCLOSED</x:v>
      </x:c>
      <x:c r="J13" s="173" t="str">
        <x:v>EVD-920116-0001-01</x:v>
      </x:c>
    </x:row>
    <x:row r="14" ht="34" customHeight="1">
      <x:c r="A14" s="172" t="str">
        <x:v>W7-OVR-920100-2022-DI-T001</x:v>
      </x:c>
      <x:c r="B14" s="172" t="str">
        <x:v>W7-OVR-920100-2022-DI</x:v>
      </x:c>
      <x:c r="C14" s="172" t="str">
        <x:v>920100</x:v>
      </x:c>
      <x:c r="D14" s="173" t="str">
        <x:v>三协电机</x:v>
      </x:c>
      <x:c r="E14" s="173" t="str">
        <x:v>DIRECTIONAL_ISSUANCE</x:v>
      </x:c>
      <x:c r="F14" s="175" t="n">
        <x:v>2374.4</x:v>
      </x:c>
      <x:c r="G14" s="173" t="str">
        <x:v>DISCLOSED_COMPLETE</x:v>
      </x:c>
      <x:c r="H14" s="173" t="str">
        <x:v>DIRECTIONAL_ISSUANCE_ENTRY</x:v>
      </x:c>
      <x:c r="I14" s="173" t="str">
        <x:v>DISCLOSED</x:v>
      </x:c>
      <x:c r="J14" s="173" t="str"/>
    </x:row>
    <x:row r="15" ht="34" customHeight="1">
      <x:c r="A15" s="172" t="str">
        <x:v>W7-OVR-920100-2023-DI-T001</x:v>
      </x:c>
      <x:c r="B15" s="172" t="str">
        <x:v>W7-OVR-920100-2023-DI</x:v>
      </x:c>
      <x:c r="C15" s="172" t="str">
        <x:v>920100</x:v>
      </x:c>
      <x:c r="D15" s="173" t="str">
        <x:v>三协电机</x:v>
      </x:c>
      <x:c r="E15" s="173" t="str">
        <x:v>DIRECTIONAL_ISSUANCE</x:v>
      </x:c>
      <x:c r="F15" s="175" t="n">
        <x:v>1723.09</x:v>
      </x:c>
      <x:c r="G15" s="173" t="str">
        <x:v>DISCLOSED_COMPLETE</x:v>
      </x:c>
      <x:c r="H15" s="173" t="str">
        <x:v>DIRECTIONAL_ISSUANCE_ENTRY</x:v>
      </x:c>
      <x:c r="I15" s="173" t="str">
        <x:v>DISCLOSED</x:v>
      </x:c>
      <x:c r="J15" s="173" t="str"/>
    </x:row>
    <x:row r="16" ht="34" customHeight="1">
      <x:c r="A16" s="172" t="str">
        <x:v>TRX-301563-INC-001</x:v>
      </x:c>
      <x:c r="B16" s="172" t="str">
        <x:v>CE-002-02</x:v>
      </x:c>
      <x:c r="C16" s="172" t="str">
        <x:v>301563</x:v>
      </x:c>
      <x:c r="D16" s="173" t="str">
        <x:v>云汉芯城</x:v>
      </x:c>
      <x:c r="E16" s="173" t="str">
        <x:v>CAPITAL_INCREASE</x:v>
      </x:c>
      <x:c r="F16" s="175"/>
      <x:c r="G16" s="173" t="str">
        <x:v>NOT_DISCLOSED</x:v>
      </x:c>
      <x:c r="H16" s="173" t="str">
        <x:v>CAPITAL_INCREASE_ENTRY</x:v>
      </x:c>
      <x:c r="I16" s="173" t="str"/>
      <x:c r="J16" s="173" t="str">
        <x:v>CE-002-E02</x:v>
      </x:c>
    </x:row>
    <x:row r="17" ht="34" customHeight="1">
      <x:c r="A17" s="172" t="str">
        <x:v>TRX-301563-INC-002</x:v>
      </x:c>
      <x:c r="B17" s="172" t="str">
        <x:v>CE-004</x:v>
      </x:c>
      <x:c r="C17" s="172" t="str">
        <x:v>301563</x:v>
      </x:c>
      <x:c r="D17" s="173" t="str">
        <x:v>云汉芯城</x:v>
      </x:c>
      <x:c r="E17" s="173" t="str">
        <x:v>CAPITAL_INCREASE</x:v>
      </x:c>
      <x:c r="F17" s="175"/>
      <x:c r="G17" s="173" t="str">
        <x:v>NOT_DISCLOSED</x:v>
      </x:c>
      <x:c r="H17" s="173" t="str">
        <x:v>CAPITAL_INCREASE_ENTRY</x:v>
      </x:c>
      <x:c r="I17" s="173" t="str"/>
      <x:c r="J17" s="173" t="str">
        <x:v>CE-004-E01</x:v>
      </x:c>
    </x:row>
    <x:row r="18" ht="34" customHeight="1">
      <x:c r="A18" s="172" t="str">
        <x:v>TRX-301563-INC-003</x:v>
      </x:c>
      <x:c r="B18" s="172" t="str">
        <x:v>CE-005</x:v>
      </x:c>
      <x:c r="C18" s="172" t="str">
        <x:v>301563</x:v>
      </x:c>
      <x:c r="D18" s="173" t="str">
        <x:v>云汉芯城</x:v>
      </x:c>
      <x:c r="E18" s="173" t="str">
        <x:v>CAPITAL_INCREASE</x:v>
      </x:c>
      <x:c r="F18" s="175"/>
      <x:c r="G18" s="173" t="str">
        <x:v>NOT_DISCLOSED</x:v>
      </x:c>
      <x:c r="H18" s="173" t="str">
        <x:v>CAPITAL_INCREASE_ENTRY</x:v>
      </x:c>
      <x:c r="I18" s="173" t="str"/>
      <x:c r="J18" s="173" t="str">
        <x:v>CE-005-E01</x:v>
      </x:c>
    </x:row>
    <x:row r="19" ht="34" customHeight="1">
      <x:c r="A19" s="172" t="str">
        <x:v>TRX-301563-INC-005</x:v>
      </x:c>
      <x:c r="B19" s="172" t="str">
        <x:v>CE-007</x:v>
      </x:c>
      <x:c r="C19" s="172" t="str">
        <x:v>301563</x:v>
      </x:c>
      <x:c r="D19" s="173" t="str">
        <x:v>云汉芯城</x:v>
      </x:c>
      <x:c r="E19" s="173" t="str">
        <x:v>CAPITAL_INCREASE</x:v>
      </x:c>
      <x:c r="F19" s="175"/>
      <x:c r="G19" s="173" t="str">
        <x:v>NOT_DISCLOSED</x:v>
      </x:c>
      <x:c r="H19" s="173" t="str">
        <x:v>CAPITAL_INCREASE_ENTRY</x:v>
      </x:c>
      <x:c r="I19" s="173" t="str"/>
      <x:c r="J19" s="173" t="str">
        <x:v>CE-007-E01</x:v>
      </x:c>
    </x:row>
    <x:row r="20" ht="34" customHeight="1">
      <x:c r="A20" s="172" t="str">
        <x:v>TRX-301563-INC-006</x:v>
      </x:c>
      <x:c r="B20" s="172" t="str">
        <x:v>CE-010-01</x:v>
      </x:c>
      <x:c r="C20" s="172" t="str">
        <x:v>301563</x:v>
      </x:c>
      <x:c r="D20" s="173" t="str">
        <x:v>云汉芯城</x:v>
      </x:c>
      <x:c r="E20" s="173" t="str">
        <x:v>CAPITAL_INCREASE</x:v>
      </x:c>
      <x:c r="F20" s="175" t="n">
        <x:v>15000</x:v>
      </x:c>
      <x:c r="G20" s="173" t="str">
        <x:v>DISCLOSED_COMPLETE</x:v>
      </x:c>
      <x:c r="H20" s="173" t="str">
        <x:v>CAPITAL_INCREASE_ENTRY</x:v>
      </x:c>
      <x:c r="I20" s="173" t="str">
        <x:v>CALCULATED</x:v>
      </x:c>
      <x:c r="J20" s="173" t="str">
        <x:v>CE-010-E01</x:v>
      </x:c>
    </x:row>
    <x:row r="21" ht="34" customHeight="1">
      <x:c r="A21" s="172" t="str">
        <x:v>TRX-301563-INC-007</x:v>
      </x:c>
      <x:c r="B21" s="172" t="str">
        <x:v>CE-010-02</x:v>
      </x:c>
      <x:c r="C21" s="172" t="str">
        <x:v>301563</x:v>
      </x:c>
      <x:c r="D21" s="173" t="str">
        <x:v>云汉芯城</x:v>
      </x:c>
      <x:c r="E21" s="173" t="str">
        <x:v>CAPITAL_INCREASE</x:v>
      </x:c>
      <x:c r="F21" s="175" t="n">
        <x:v>120</x:v>
      </x:c>
      <x:c r="G21" s="173" t="str">
        <x:v>DISCLOSED_COMPLETE</x:v>
      </x:c>
      <x:c r="H21" s="173" t="str">
        <x:v>CAPITAL_INCREASE_ENTRY</x:v>
      </x:c>
      <x:c r="I21" s="173" t="str">
        <x:v>CALCULATED</x:v>
      </x:c>
      <x:c r="J21" s="173" t="str">
        <x:v>CE-010-E02</x:v>
      </x:c>
    </x:row>
    <x:row r="22" ht="34" customHeight="1">
      <x:c r="A22" s="172" t="str">
        <x:v>TRX-301563-INC-008</x:v>
      </x:c>
      <x:c r="B22" s="172" t="str">
        <x:v>CE-012</x:v>
      </x:c>
      <x:c r="C22" s="172" t="str">
        <x:v>301563</x:v>
      </x:c>
      <x:c r="D22" s="173" t="str">
        <x:v>云汉芯城</x:v>
      </x:c>
      <x:c r="E22" s="173" t="str">
        <x:v>CAPITAL_INCREASE</x:v>
      </x:c>
      <x:c r="F22" s="175" t="n">
        <x:v>5000</x:v>
      </x:c>
      <x:c r="G22" s="173" t="str">
        <x:v>DISCLOSED_COMPLETE</x:v>
      </x:c>
      <x:c r="H22" s="173" t="str">
        <x:v>CAPITAL_INCREASE_ENTRY</x:v>
      </x:c>
      <x:c r="I22" s="173" t="str">
        <x:v>DISCLOSED</x:v>
      </x:c>
      <x:c r="J22" s="173" t="str">
        <x:v>CE-012-E01</x:v>
      </x:c>
    </x:row>
    <x:row r="23" ht="34" customHeight="1">
      <x:c r="A23" s="172" t="str">
        <x:v>TRX-301563-INC-009</x:v>
      </x:c>
      <x:c r="B23" s="172" t="str">
        <x:v>CE-013-01</x:v>
      </x:c>
      <x:c r="C23" s="172" t="str">
        <x:v>301563</x:v>
      </x:c>
      <x:c r="D23" s="173" t="str">
        <x:v>云汉芯城</x:v>
      </x:c>
      <x:c r="E23" s="173" t="str">
        <x:v>CAPITAL_INCREASE</x:v>
      </x:c>
      <x:c r="F23" s="175" t="n">
        <x:v>7000</x:v>
      </x:c>
      <x:c r="G23" s="173" t="str">
        <x:v>DISCLOSED_COMPLETE</x:v>
      </x:c>
      <x:c r="H23" s="173" t="str">
        <x:v>CAPITAL_INCREASE_ENTRY</x:v>
      </x:c>
      <x:c r="I23" s="173" t="str">
        <x:v>CALCULATED</x:v>
      </x:c>
      <x:c r="J23" s="173" t="str">
        <x:v>CE-013-E01</x:v>
      </x:c>
    </x:row>
  </x:sheetData>
  <x:mergeCells>
    <x:mergeCell ref="A1:J1"/>
    <x:mergeCell ref="A2:J2"/>
  </x:mergeCells>
  <x:conditionalFormatting sqref="A5:J23">
    <x:cfRule type="expression" dxfId="0" priority="1">
      <x:formula>$A5="TRX-301563-INC-007"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</x:cols>
  <x:sheetData>
    <x:row r="1" ht="32" customHeight="1">
      <x:c r="A1" s="104" t="str">
        <x:v>主体PE/VC状态视图</x:v>
      </x:c>
      <x:c r="B1" s="131"/>
    </x:row>
    <x:row r="2" ht="32" customHeight="1">
      <x:c r="A2" s="132" t="str">
        <x:v>每行1个标准主体，共69个；空状态保留为null，不并入PEVC_CONFIRMED。</x:v>
      </x:c>
      <x:c r="B2" s="132"/>
    </x:row>
    <x:row r="3">
      <x:c r="A3" s="133"/>
      <x:c r="B3" s="133"/>
    </x:row>
    <x:row r="4" ht="32" customHeight="1">
      <x:c r="A4" s="150" t="str">
        <x:v>entity_id</x:v>
      </x:c>
      <x:c r="B4" s="152" t="str">
        <x:v>standardized_pevc_status</x:v>
      </x:c>
    </x:row>
    <x:row r="5" ht="24" customHeight="1">
      <x:c r="A5" s="167" t="str">
        <x:v>STD-001282-ISSUER</x:v>
      </x:c>
      <x:c r="B5" s="168" t="str">
        <x:v>PEVC_EXCLUDED</x:v>
      </x:c>
    </x:row>
    <x:row r="6" ht="24" customHeight="1">
      <x:c r="A6" s="172" t="str">
        <x:v>STD-301581-ISSUER</x:v>
      </x:c>
      <x:c r="B6" s="173" t="str">
        <x:v>PEVC_EXCLUDED</x:v>
      </x:c>
    </x:row>
    <x:row r="7" ht="24" customHeight="1">
      <x:c r="A7" s="172" t="str">
        <x:v>STD-603418-ISSUER</x:v>
      </x:c>
      <x:c r="B7" s="173" t="str">
        <x:v>PEVC_EXCLUDED</x:v>
      </x:c>
    </x:row>
    <x:row r="8" ht="24" customHeight="1">
      <x:c r="A8" s="172" t="str">
        <x:v>STD-688758-ISSUER</x:v>
      </x:c>
      <x:c r="B8" s="173" t="str">
        <x:v>PEVC_EXCLUDED</x:v>
      </x:c>
    </x:row>
    <x:row r="9" ht="24" customHeight="1">
      <x:c r="A9" s="172" t="str">
        <x:v>STD-688775-ISSUER</x:v>
      </x:c>
      <x:c r="B9" s="173" t="str">
        <x:v>PEVC_EXCLUDED</x:v>
      </x:c>
    </x:row>
    <x:row r="10" ht="24" customHeight="1">
      <x:c r="A10" s="172" t="str">
        <x:v>STD-920100-ISSUER</x:v>
      </x:c>
      <x:c r="B10" s="173" t="str">
        <x:v>PEVC_EXCLUDED</x:v>
      </x:c>
    </x:row>
    <x:row r="11" ht="24" customHeight="1">
      <x:c r="A11" s="172" t="str">
        <x:v>STD-920116-ISSUER</x:v>
      </x:c>
      <x:c r="B11" s="173" t="str">
        <x:v>PEVC_EXCLUDED</x:v>
      </x:c>
    </x:row>
    <x:row r="12" ht="24" customHeight="1">
      <x:c r="A12" s="172" t="str">
        <x:v>PTY-001282-00001</x:v>
      </x:c>
      <x:c r="B12" s="173"/>
    </x:row>
    <x:row r="13" ht="24" customHeight="1">
      <x:c r="A13" s="172" t="str">
        <x:v>PTY-301581-00001</x:v>
      </x:c>
      <x:c r="B13" s="173"/>
    </x:row>
    <x:row r="14" ht="24" customHeight="1">
      <x:c r="A14" s="172" t="str">
        <x:v>PTY-301581-00002</x:v>
      </x:c>
      <x:c r="B14" s="173"/>
    </x:row>
    <x:row r="15" ht="24" customHeight="1">
      <x:c r="A15" s="172" t="str">
        <x:v>PTY-301581-00003</x:v>
      </x:c>
      <x:c r="B15" s="173"/>
    </x:row>
    <x:row r="16" ht="24" customHeight="1">
      <x:c r="A16" s="172" t="str">
        <x:v>PTY-301581-00004</x:v>
      </x:c>
      <x:c r="B16" s="173"/>
    </x:row>
    <x:row r="17" ht="24" customHeight="1">
      <x:c r="A17" s="172" t="str">
        <x:v>PTY-301581-00005</x:v>
      </x:c>
      <x:c r="B17" s="173"/>
    </x:row>
    <x:row r="18" ht="24" customHeight="1">
      <x:c r="A18" s="172" t="str">
        <x:v>PTY-603418-00001</x:v>
      </x:c>
      <x:c r="B18" s="173"/>
    </x:row>
    <x:row r="19" ht="24" customHeight="1">
      <x:c r="A19" s="172" t="str">
        <x:v>PTY-603418-00002</x:v>
      </x:c>
      <x:c r="B19" s="173"/>
    </x:row>
    <x:row r="20" ht="24" customHeight="1">
      <x:c r="A20" s="172" t="str">
        <x:v>PTY-688758-00001</x:v>
      </x:c>
      <x:c r="B20" s="173"/>
    </x:row>
    <x:row r="21" ht="24" customHeight="1">
      <x:c r="A21" s="172" t="str">
        <x:v>PTY-688758-00002</x:v>
      </x:c>
      <x:c r="B21" s="173"/>
    </x:row>
    <x:row r="22" ht="24" customHeight="1">
      <x:c r="A22" s="172" t="str">
        <x:v>PTY-920116-00001</x:v>
      </x:c>
      <x:c r="B22" s="173"/>
    </x:row>
    <x:row r="23" ht="24" customHeight="1">
      <x:c r="A23" s="172" t="str">
        <x:v>PTY-920116-00002</x:v>
      </x:c>
      <x:c r="B23" s="173"/>
    </x:row>
    <x:row r="24" ht="24" customHeight="1">
      <x:c r="A24" s="172" t="str">
        <x:v>PTY-920116-00003</x:v>
      </x:c>
      <x:c r="B24" s="173"/>
    </x:row>
    <x:row r="25" ht="24" customHeight="1">
      <x:c r="A25" s="172" t="str">
        <x:v>INV-603418-0009</x:v>
      </x:c>
      <x:c r="B25" s="173" t="str">
        <x:v>PEVC_CONFIRMED</x:v>
      </x:c>
    </x:row>
    <x:row r="26" ht="24" customHeight="1">
      <x:c r="A26" s="172" t="str">
        <x:v>INV-603418-0010</x:v>
      </x:c>
      <x:c r="B26" s="173" t="str">
        <x:v>PEVC_CONFIRMED</x:v>
      </x:c>
    </x:row>
    <x:row r="27" ht="24" customHeight="1">
      <x:c r="A27" s="172" t="str">
        <x:v>STD-920100-PEVC-001</x:v>
      </x:c>
      <x:c r="B27" s="173" t="str">
        <x:v>PEVC_CONFIRMED</x:v>
      </x:c>
    </x:row>
    <x:row r="28" ht="24" customHeight="1">
      <x:c r="A28" s="172" t="str">
        <x:v>STD-920100-PEVC-002</x:v>
      </x:c>
      <x:c r="B28" s="173" t="str">
        <x:v>PEVC_CONFIRMED</x:v>
      </x:c>
    </x:row>
    <x:row r="29" ht="24" customHeight="1">
      <x:c r="A29" s="172" t="str">
        <x:v>ENT-ISSUER</x:v>
      </x:c>
      <x:c r="B29" s="173" t="str">
        <x:v>PEVC_EXCLUDED</x:v>
      </x:c>
    </x:row>
    <x:row r="30" ht="24" customHeight="1">
      <x:c r="A30" s="172" t="str">
        <x:v>ENT-001</x:v>
      </x:c>
      <x:c r="B30" s="173" t="str">
        <x:v>PEVC_EXCLUDED</x:v>
      </x:c>
    </x:row>
    <x:row r="31" ht="24" customHeight="1">
      <x:c r="A31" s="172" t="str">
        <x:v>ENT-002</x:v>
      </x:c>
      <x:c r="B31" s="173" t="str">
        <x:v>PEVC_EXCLUDED</x:v>
      </x:c>
    </x:row>
    <x:row r="32" ht="24" customHeight="1">
      <x:c r="A32" s="172" t="str">
        <x:v>ENT-003</x:v>
      </x:c>
      <x:c r="B32" s="173" t="str">
        <x:v>PEVC_EXCLUDED</x:v>
      </x:c>
    </x:row>
    <x:row r="33" ht="24" customHeight="1">
      <x:c r="A33" s="172" t="str">
        <x:v>ENT-004</x:v>
      </x:c>
      <x:c r="B33" s="173" t="str">
        <x:v>PEVC_EXCLUDED</x:v>
      </x:c>
    </x:row>
    <x:row r="34" ht="24" customHeight="1">
      <x:c r="A34" s="172" t="str">
        <x:v>ENT-005</x:v>
      </x:c>
      <x:c r="B34" s="173" t="str">
        <x:v>PEVC_EXCLUDED</x:v>
      </x:c>
    </x:row>
    <x:row r="35" ht="24" customHeight="1">
      <x:c r="A35" s="172" t="str">
        <x:v>ENT-006</x:v>
      </x:c>
      <x:c r="B35" s="173" t="str">
        <x:v>PEVC_CONFIRMED</x:v>
      </x:c>
    </x:row>
    <x:row r="36" ht="24" customHeight="1">
      <x:c r="A36" s="172" t="str">
        <x:v>ENT-007</x:v>
      </x:c>
      <x:c r="B36" s="173" t="str">
        <x:v>PEVC_CONFIRMED</x:v>
      </x:c>
    </x:row>
    <x:row r="37" ht="24" customHeight="1">
      <x:c r="A37" s="172" t="str">
        <x:v>ENT-008</x:v>
      </x:c>
      <x:c r="B37" s="173" t="str">
        <x:v>PEVC_CANDIDATE</x:v>
      </x:c>
    </x:row>
    <x:row r="38" ht="24" customHeight="1">
      <x:c r="A38" s="172" t="str">
        <x:v>ENT-009</x:v>
      </x:c>
      <x:c r="B38" s="173" t="str">
        <x:v>PEVC_RELATED</x:v>
      </x:c>
    </x:row>
    <x:row r="39" ht="24" customHeight="1">
      <x:c r="A39" s="172" t="str">
        <x:v>ENT-010</x:v>
      </x:c>
      <x:c r="B39" s="173" t="str">
        <x:v>PEVC_CANDIDATE</x:v>
      </x:c>
    </x:row>
    <x:row r="40" ht="24" customHeight="1">
      <x:c r="A40" s="172" t="str">
        <x:v>ENT-011</x:v>
      </x:c>
      <x:c r="B40" s="173" t="str">
        <x:v>PEVC_CANDIDATE</x:v>
      </x:c>
    </x:row>
    <x:row r="41" ht="24" customHeight="1">
      <x:c r="A41" s="172" t="str">
        <x:v>ENT-012</x:v>
      </x:c>
      <x:c r="B41" s="173" t="str">
        <x:v>PEVC_CONFIRMED</x:v>
      </x:c>
    </x:row>
    <x:row r="42" ht="24" customHeight="1">
      <x:c r="A42" s="172" t="str">
        <x:v>ENT-013</x:v>
      </x:c>
      <x:c r="B42" s="173" t="str">
        <x:v>PEVC_CONFIRMED</x:v>
      </x:c>
    </x:row>
    <x:row r="43" ht="24" customHeight="1">
      <x:c r="A43" s="172" t="str">
        <x:v>ENT-014</x:v>
      </x:c>
      <x:c r="B43" s="173" t="str">
        <x:v>PEVC_CONFIRMED</x:v>
      </x:c>
    </x:row>
    <x:row r="44" ht="24" customHeight="1">
      <x:c r="A44" s="172" t="str">
        <x:v>ENT-015</x:v>
      </x:c>
      <x:c r="B44" s="173" t="str">
        <x:v>PEVC_CANDIDATE</x:v>
      </x:c>
    </x:row>
    <x:row r="45" ht="24" customHeight="1">
      <x:c r="A45" s="172" t="str">
        <x:v>ENT-016</x:v>
      </x:c>
      <x:c r="B45" s="173" t="str">
        <x:v>PEVC_CONFIRMED</x:v>
      </x:c>
    </x:row>
    <x:row r="46" ht="24" customHeight="1">
      <x:c r="A46" s="172" t="str">
        <x:v>ENT-017</x:v>
      </x:c>
      <x:c r="B46" s="173" t="str">
        <x:v>PEVC_EXCLUDED</x:v>
      </x:c>
    </x:row>
    <x:row r="47" ht="24" customHeight="1">
      <x:c r="A47" s="172" t="str">
        <x:v>ENT-018</x:v>
      </x:c>
      <x:c r="B47" s="173" t="str">
        <x:v>PEVC_CONFIRMED</x:v>
      </x:c>
    </x:row>
    <x:row r="48" ht="24" customHeight="1">
      <x:c r="A48" s="172" t="str">
        <x:v>ENT-019</x:v>
      </x:c>
      <x:c r="B48" s="173" t="str">
        <x:v>PEVC_CONFIRMED</x:v>
      </x:c>
    </x:row>
    <x:row r="49" ht="24" customHeight="1">
      <x:c r="A49" s="172" t="str">
        <x:v>ENT-020</x:v>
      </x:c>
      <x:c r="B49" s="173" t="str">
        <x:v>PEVC_EXCLUDED</x:v>
      </x:c>
    </x:row>
    <x:row r="50" ht="24" customHeight="1">
      <x:c r="A50" s="172" t="str">
        <x:v>ENT-021</x:v>
      </x:c>
      <x:c r="B50" s="173" t="str">
        <x:v>PEVC_EXCLUDED</x:v>
      </x:c>
    </x:row>
    <x:row r="51" ht="24" customHeight="1">
      <x:c r="A51" s="172" t="str">
        <x:v>ENT-022</x:v>
      </x:c>
      <x:c r="B51" s="173" t="str">
        <x:v>PEVC_EXCLUDED</x:v>
      </x:c>
    </x:row>
    <x:row r="52" ht="24" customHeight="1">
      <x:c r="A52" s="172" t="str">
        <x:v>ENT-023</x:v>
      </x:c>
      <x:c r="B52" s="173" t="str">
        <x:v>PEVC_EXCLUDED</x:v>
      </x:c>
    </x:row>
    <x:row r="53" ht="24" customHeight="1">
      <x:c r="A53" s="172" t="str">
        <x:v>ENT-024</x:v>
      </x:c>
      <x:c r="B53" s="173" t="str">
        <x:v>PEVC_CONFIRMED</x:v>
      </x:c>
    </x:row>
    <x:row r="54" ht="24" customHeight="1">
      <x:c r="A54" s="172" t="str">
        <x:v>ENT-025</x:v>
      </x:c>
      <x:c r="B54" s="173" t="str">
        <x:v>PEVC_CONFIRMED</x:v>
      </x:c>
    </x:row>
    <x:row r="55" ht="24" customHeight="1">
      <x:c r="A55" s="172" t="str">
        <x:v>ENT-026</x:v>
      </x:c>
      <x:c r="B55" s="173" t="str">
        <x:v>PEVC_CANDIDATE</x:v>
      </x:c>
    </x:row>
    <x:row r="56" ht="24" customHeight="1">
      <x:c r="A56" s="172" t="str">
        <x:v>ENT-027</x:v>
      </x:c>
      <x:c r="B56" s="173" t="str">
        <x:v>PEVC_EXCLUDED</x:v>
      </x:c>
    </x:row>
    <x:row r="57" ht="24" customHeight="1">
      <x:c r="A57" s="172" t="str">
        <x:v>ENT-028</x:v>
      </x:c>
      <x:c r="B57" s="173" t="str">
        <x:v>PEVC_CANDIDATE</x:v>
      </x:c>
    </x:row>
    <x:row r="58" ht="24" customHeight="1">
      <x:c r="A58" s="172" t="str">
        <x:v>ENT-029</x:v>
      </x:c>
      <x:c r="B58" s="173" t="str">
        <x:v>PEVC_CONFIRMED</x:v>
      </x:c>
    </x:row>
    <x:row r="59" ht="24" customHeight="1">
      <x:c r="A59" s="172" t="str">
        <x:v>ENT-030</x:v>
      </x:c>
      <x:c r="B59" s="173" t="str">
        <x:v>PEVC_EXCLUDED</x:v>
      </x:c>
    </x:row>
    <x:row r="60" ht="24" customHeight="1">
      <x:c r="A60" s="172" t="str">
        <x:v>ENT-031</x:v>
      </x:c>
      <x:c r="B60" s="173" t="str">
        <x:v>PEVC_UNRESOLVED</x:v>
      </x:c>
    </x:row>
    <x:row r="61" ht="24" customHeight="1">
      <x:c r="A61" s="172" t="str">
        <x:v>ENT-032</x:v>
      </x:c>
      <x:c r="B61" s="173" t="str">
        <x:v>PEVC_EXCLUDED</x:v>
      </x:c>
    </x:row>
    <x:row r="62" ht="24" customHeight="1">
      <x:c r="A62" s="172" t="str">
        <x:v>ENT-033</x:v>
      </x:c>
      <x:c r="B62" s="173" t="str">
        <x:v>PEVC_EXCLUDED</x:v>
      </x:c>
    </x:row>
    <x:row r="63" ht="24" customHeight="1">
      <x:c r="A63" s="172" t="str">
        <x:v>ENT-034</x:v>
      </x:c>
      <x:c r="B63" s="173" t="str">
        <x:v>PEVC_EXCLUDED</x:v>
      </x:c>
    </x:row>
    <x:row r="64" ht="24" customHeight="1">
      <x:c r="A64" s="172" t="str">
        <x:v>ENT-035</x:v>
      </x:c>
      <x:c r="B64" s="173" t="str">
        <x:v>PEVC_EXCLUDED</x:v>
      </x:c>
    </x:row>
    <x:row r="65" ht="24" customHeight="1">
      <x:c r="A65" s="172" t="str">
        <x:v>ENT-036</x:v>
      </x:c>
      <x:c r="B65" s="173" t="str">
        <x:v>PEVC_UNRESOLVED</x:v>
      </x:c>
    </x:row>
    <x:row r="66" ht="24" customHeight="1">
      <x:c r="A66" s="172" t="str">
        <x:v>ENT-R001</x:v>
      </x:c>
      <x:c r="B66" s="173" t="str">
        <x:v>PEVC_CONFIRMED</x:v>
      </x:c>
    </x:row>
    <x:row r="67" ht="24" customHeight="1">
      <x:c r="A67" s="172" t="str">
        <x:v>ENT-R002</x:v>
      </x:c>
      <x:c r="B67" s="173" t="str">
        <x:v>PEVC_RELATED</x:v>
      </x:c>
    </x:row>
    <x:row r="68" ht="24" customHeight="1">
      <x:c r="A68" s="172" t="str">
        <x:v>ENT-R003</x:v>
      </x:c>
      <x:c r="B68" s="173" t="str">
        <x:v>PEVC_RELATED</x:v>
      </x:c>
    </x:row>
    <x:row r="69" ht="24" customHeight="1">
      <x:c r="A69" s="172" t="str">
        <x:v>ENT-R004</x:v>
      </x:c>
      <x:c r="B69" s="173" t="str">
        <x:v>PEVC_RELATED</x:v>
      </x:c>
    </x:row>
    <x:row r="70" ht="24" customHeight="1">
      <x:c r="A70" s="172" t="str">
        <x:v>ENT-R005</x:v>
      </x:c>
      <x:c r="B70" s="173" t="str">
        <x:v>PEVC_RELATED</x:v>
      </x:c>
    </x:row>
    <x:row r="71" ht="24" customHeight="1">
      <x:c r="A71" s="172" t="str">
        <x:v>ENT-R006</x:v>
      </x:c>
      <x:c r="B71" s="173" t="str">
        <x:v>PEVC_RELATED</x:v>
      </x:c>
    </x:row>
    <x:row r="72" ht="24" customHeight="1">
      <x:c r="A72" s="172" t="str">
        <x:v>ENT-R007</x:v>
      </x:c>
      <x:c r="B72" s="173" t="str">
        <x:v>PEVC_RELATED</x:v>
      </x:c>
    </x:row>
    <x:row r="73" ht="24" customHeight="1">
      <x:c r="A73" s="172" t="str">
        <x:v>ENT-R008</x:v>
      </x:c>
      <x:c r="B73" s="173" t="str">
        <x:v>PEVC_RELATED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4" hidden="0" customWidth="1"/>
  </x:cols>
  <x:sheetData>
    <x:row r="1" ht="32" customHeight="1">
      <x:c r="A1" s="104" t="str">
        <x:v>投资路径边状态视图</x:v>
      </x:c>
      <x:c r="B1" s="131"/>
      <x:c r="C1" s="131"/>
    </x:row>
    <x:row r="2" ht="32" customHeight="1">
      <x:c r="A2" s="132" t="str">
        <x:v>每行1条路径边，共67条；直接/间接仅描述边属性，边数不等于投资者数。</x:v>
      </x:c>
      <x:c r="B2" s="132"/>
      <x:c r="C2" s="132"/>
    </x:row>
    <x:row r="3">
      <x:c r="A3" s="133"/>
      <x:c r="B3" s="133"/>
      <x:c r="C3" s="133"/>
    </x:row>
    <x:row r="4" ht="32" customHeight="1">
      <x:c r="A4" s="150" t="str">
        <x:v>path_edge_id</x:v>
      </x:c>
      <x:c r="B4" s="151" t="str">
        <x:v>direct_indirect</x:v>
      </x:c>
      <x:c r="C4" s="152" t="str">
        <x:v>company_id</x:v>
      </x:c>
    </x:row>
    <x:row r="5" ht="24" customHeight="1">
      <x:c r="A5" s="167" t="str">
        <x:v>PATH-603418-00006-E01</x:v>
      </x:c>
      <x:c r="B5" s="168" t="str">
        <x:v>DIRECT</x:v>
      </x:c>
      <x:c r="C5" s="167" t="str">
        <x:v>603418</x:v>
      </x:c>
    </x:row>
    <x:row r="6" ht="24" customHeight="1">
      <x:c r="A6" s="172" t="str">
        <x:v>PATH-603418-00007-E01</x:v>
      </x:c>
      <x:c r="B6" s="173" t="str">
        <x:v>DIRECT</x:v>
      </x:c>
      <x:c r="C6" s="172" t="str">
        <x:v>603418</x:v>
      </x:c>
    </x:row>
    <x:row r="7" ht="24" customHeight="1">
      <x:c r="A7" s="172" t="str">
        <x:v>EDGE-001</x:v>
      </x:c>
      <x:c r="B7" s="173" t="str">
        <x:v>DIRECT</x:v>
      </x:c>
      <x:c r="C7" s="172" t="str">
        <x:v>301563</x:v>
      </x:c>
    </x:row>
    <x:row r="8" ht="24" customHeight="1">
      <x:c r="A8" s="172" t="str">
        <x:v>EDGE-002</x:v>
      </x:c>
      <x:c r="B8" s="173" t="str">
        <x:v>DIRECT</x:v>
      </x:c>
      <x:c r="C8" s="172" t="str">
        <x:v>301563</x:v>
      </x:c>
    </x:row>
    <x:row r="9" ht="24" customHeight="1">
      <x:c r="A9" s="172" t="str">
        <x:v>EDGE-003</x:v>
      </x:c>
      <x:c r="B9" s="173" t="str">
        <x:v>DIRECT</x:v>
      </x:c>
      <x:c r="C9" s="172" t="str">
        <x:v>301563</x:v>
      </x:c>
    </x:row>
    <x:row r="10" ht="24" customHeight="1">
      <x:c r="A10" s="172" t="str">
        <x:v>EDGE-004</x:v>
      </x:c>
      <x:c r="B10" s="173" t="str">
        <x:v>DIRECT</x:v>
      </x:c>
      <x:c r="C10" s="172" t="str">
        <x:v>301563</x:v>
      </x:c>
    </x:row>
    <x:row r="11" ht="24" customHeight="1">
      <x:c r="A11" s="172" t="str">
        <x:v>EDGE-005</x:v>
      </x:c>
      <x:c r="B11" s="173" t="str">
        <x:v>DIRECT</x:v>
      </x:c>
      <x:c r="C11" s="172" t="str">
        <x:v>301563</x:v>
      </x:c>
    </x:row>
    <x:row r="12" ht="24" customHeight="1">
      <x:c r="A12" s="172" t="str">
        <x:v>EDGE-006</x:v>
      </x:c>
      <x:c r="B12" s="173" t="str">
        <x:v>DIRECT</x:v>
      </x:c>
      <x:c r="C12" s="172" t="str">
        <x:v>301563</x:v>
      </x:c>
    </x:row>
    <x:row r="13" ht="24" customHeight="1">
      <x:c r="A13" s="172" t="str">
        <x:v>EDGE-007</x:v>
      </x:c>
      <x:c r="B13" s="173" t="str">
        <x:v>DIRECT</x:v>
      </x:c>
      <x:c r="C13" s="172" t="str">
        <x:v>301563</x:v>
      </x:c>
    </x:row>
    <x:row r="14" ht="24" customHeight="1">
      <x:c r="A14" s="172" t="str">
        <x:v>EDGE-008</x:v>
      </x:c>
      <x:c r="B14" s="173" t="str">
        <x:v>DIRECT</x:v>
      </x:c>
      <x:c r="C14" s="172" t="str">
        <x:v>301563</x:v>
      </x:c>
    </x:row>
    <x:row r="15" ht="24" customHeight="1">
      <x:c r="A15" s="172" t="str">
        <x:v>EDGE-009</x:v>
      </x:c>
      <x:c r="B15" s="173" t="str">
        <x:v>DIRECT</x:v>
      </x:c>
      <x:c r="C15" s="172" t="str">
        <x:v>301563</x:v>
      </x:c>
    </x:row>
    <x:row r="16" ht="24" customHeight="1">
      <x:c r="A16" s="172" t="str">
        <x:v>EDGE-010</x:v>
      </x:c>
      <x:c r="B16" s="173" t="str">
        <x:v>DIRECT</x:v>
      </x:c>
      <x:c r="C16" s="172" t="str">
        <x:v>301563</x:v>
      </x:c>
    </x:row>
    <x:row r="17" ht="24" customHeight="1">
      <x:c r="A17" s="172" t="str">
        <x:v>EDGE-011</x:v>
      </x:c>
      <x:c r="B17" s="173" t="str">
        <x:v>DIRECT</x:v>
      </x:c>
      <x:c r="C17" s="172" t="str">
        <x:v>301563</x:v>
      </x:c>
    </x:row>
    <x:row r="18" ht="24" customHeight="1">
      <x:c r="A18" s="172" t="str">
        <x:v>EDGE-012</x:v>
      </x:c>
      <x:c r="B18" s="173" t="str">
        <x:v>DIRECT</x:v>
      </x:c>
      <x:c r="C18" s="172" t="str">
        <x:v>301563</x:v>
      </x:c>
    </x:row>
    <x:row r="19" ht="24" customHeight="1">
      <x:c r="A19" s="172" t="str">
        <x:v>EDGE-013</x:v>
      </x:c>
      <x:c r="B19" s="173" t="str">
        <x:v>DIRECT</x:v>
      </x:c>
      <x:c r="C19" s="172" t="str">
        <x:v>301563</x:v>
      </x:c>
    </x:row>
    <x:row r="20" ht="24" customHeight="1">
      <x:c r="A20" s="172" t="str">
        <x:v>EDGE-014</x:v>
      </x:c>
      <x:c r="B20" s="173" t="str">
        <x:v>DIRECT</x:v>
      </x:c>
      <x:c r="C20" s="172" t="str">
        <x:v>301563</x:v>
      </x:c>
    </x:row>
    <x:row r="21" ht="24" customHeight="1">
      <x:c r="A21" s="172" t="str">
        <x:v>EDGE-015</x:v>
      </x:c>
      <x:c r="B21" s="173" t="str">
        <x:v>DIRECT</x:v>
      </x:c>
      <x:c r="C21" s="172" t="str">
        <x:v>301563</x:v>
      </x:c>
    </x:row>
    <x:row r="22" ht="24" customHeight="1">
      <x:c r="A22" s="172" t="str">
        <x:v>EDGE-016</x:v>
      </x:c>
      <x:c r="B22" s="173" t="str">
        <x:v>DIRECT</x:v>
      </x:c>
      <x:c r="C22" s="172" t="str">
        <x:v>301563</x:v>
      </x:c>
    </x:row>
    <x:row r="23" ht="24" customHeight="1">
      <x:c r="A23" s="172" t="str">
        <x:v>EDGE-017</x:v>
      </x:c>
      <x:c r="B23" s="173" t="str">
        <x:v>DIRECT</x:v>
      </x:c>
      <x:c r="C23" s="172" t="str">
        <x:v>301563</x:v>
      </x:c>
    </x:row>
    <x:row r="24" ht="24" customHeight="1">
      <x:c r="A24" s="172" t="str">
        <x:v>EDGE-018</x:v>
      </x:c>
      <x:c r="B24" s="173" t="str">
        <x:v>DIRECT</x:v>
      </x:c>
      <x:c r="C24" s="172" t="str">
        <x:v>301563</x:v>
      </x:c>
    </x:row>
    <x:row r="25" ht="24" customHeight="1">
      <x:c r="A25" s="172" t="str">
        <x:v>EDGE-019</x:v>
      </x:c>
      <x:c r="B25" s="173" t="str">
        <x:v>DIRECT</x:v>
      </x:c>
      <x:c r="C25" s="172" t="str">
        <x:v>301563</x:v>
      </x:c>
    </x:row>
    <x:row r="26" ht="24" customHeight="1">
      <x:c r="A26" s="172" t="str">
        <x:v>EDGE-020</x:v>
      </x:c>
      <x:c r="B26" s="173" t="str">
        <x:v>DIRECT</x:v>
      </x:c>
      <x:c r="C26" s="172" t="str">
        <x:v>301563</x:v>
      </x:c>
    </x:row>
    <x:row r="27" ht="24" customHeight="1">
      <x:c r="A27" s="172" t="str">
        <x:v>EDGE-021</x:v>
      </x:c>
      <x:c r="B27" s="173" t="str">
        <x:v>DIRECT</x:v>
      </x:c>
      <x:c r="C27" s="172" t="str">
        <x:v>301563</x:v>
      </x:c>
    </x:row>
    <x:row r="28" ht="24" customHeight="1">
      <x:c r="A28" s="172" t="str">
        <x:v>EDGE-022</x:v>
      </x:c>
      <x:c r="B28" s="173" t="str">
        <x:v>DIRECT</x:v>
      </x:c>
      <x:c r="C28" s="172" t="str">
        <x:v>301563</x:v>
      </x:c>
    </x:row>
    <x:row r="29" ht="24" customHeight="1">
      <x:c r="A29" s="172" t="str">
        <x:v>EDGE-023</x:v>
      </x:c>
      <x:c r="B29" s="173" t="str">
        <x:v>DIRECT</x:v>
      </x:c>
      <x:c r="C29" s="172" t="str">
        <x:v>301563</x:v>
      </x:c>
    </x:row>
    <x:row r="30" ht="24" customHeight="1">
      <x:c r="A30" s="172" t="str">
        <x:v>EDGE-024</x:v>
      </x:c>
      <x:c r="B30" s="173" t="str">
        <x:v>DIRECT</x:v>
      </x:c>
      <x:c r="C30" s="172" t="str">
        <x:v>301563</x:v>
      </x:c>
    </x:row>
    <x:row r="31" ht="24" customHeight="1">
      <x:c r="A31" s="172" t="str">
        <x:v>EDGE-025</x:v>
      </x:c>
      <x:c r="B31" s="173" t="str">
        <x:v>DIRECT</x:v>
      </x:c>
      <x:c r="C31" s="172" t="str">
        <x:v>301563</x:v>
      </x:c>
    </x:row>
    <x:row r="32" ht="24" customHeight="1">
      <x:c r="A32" s="172" t="str">
        <x:v>EDGE-026</x:v>
      </x:c>
      <x:c r="B32" s="173" t="str">
        <x:v>DIRECT</x:v>
      </x:c>
      <x:c r="C32" s="172" t="str">
        <x:v>301563</x:v>
      </x:c>
    </x:row>
    <x:row r="33" ht="24" customHeight="1">
      <x:c r="A33" s="172" t="str">
        <x:v>EDGE-027</x:v>
      </x:c>
      <x:c r="B33" s="173" t="str">
        <x:v>DIRECT</x:v>
      </x:c>
      <x:c r="C33" s="172" t="str">
        <x:v>301563</x:v>
      </x:c>
    </x:row>
    <x:row r="34" ht="24" customHeight="1">
      <x:c r="A34" s="172" t="str">
        <x:v>EDGE-028</x:v>
      </x:c>
      <x:c r="B34" s="173" t="str">
        <x:v>DIRECT</x:v>
      </x:c>
      <x:c r="C34" s="172" t="str">
        <x:v>301563</x:v>
      </x:c>
    </x:row>
    <x:row r="35" ht="24" customHeight="1">
      <x:c r="A35" s="172" t="str">
        <x:v>EDGE-029</x:v>
      </x:c>
      <x:c r="B35" s="173" t="str">
        <x:v>DIRECT</x:v>
      </x:c>
      <x:c r="C35" s="172" t="str">
        <x:v>301563</x:v>
      </x:c>
    </x:row>
    <x:row r="36" ht="24" customHeight="1">
      <x:c r="A36" s="172" t="str">
        <x:v>EDGE-030</x:v>
      </x:c>
      <x:c r="B36" s="173" t="str">
        <x:v>DIRECT</x:v>
      </x:c>
      <x:c r="C36" s="172" t="str">
        <x:v>301563</x:v>
      </x:c>
    </x:row>
    <x:row r="37" ht="24" customHeight="1">
      <x:c r="A37" s="172" t="str">
        <x:v>EDGE-031</x:v>
      </x:c>
      <x:c r="B37" s="173" t="str">
        <x:v>DIRECT</x:v>
      </x:c>
      <x:c r="C37" s="172" t="str">
        <x:v>301563</x:v>
      </x:c>
    </x:row>
    <x:row r="38" ht="24" customHeight="1">
      <x:c r="A38" s="172" t="str">
        <x:v>EDGE-032</x:v>
      </x:c>
      <x:c r="B38" s="173" t="str">
        <x:v>DIRECT</x:v>
      </x:c>
      <x:c r="C38" s="172" t="str">
        <x:v>301563</x:v>
      </x:c>
    </x:row>
    <x:row r="39" ht="24" customHeight="1">
      <x:c r="A39" s="172" t="str">
        <x:v>EDGE-033</x:v>
      </x:c>
      <x:c r="B39" s="173" t="str">
        <x:v>DIRECT</x:v>
      </x:c>
      <x:c r="C39" s="172" t="str">
        <x:v>301563</x:v>
      </x:c>
    </x:row>
    <x:row r="40" ht="24" customHeight="1">
      <x:c r="A40" s="172" t="str">
        <x:v>EDGE-034</x:v>
      </x:c>
      <x:c r="B40" s="173" t="str">
        <x:v>DIRECT</x:v>
      </x:c>
      <x:c r="C40" s="172" t="str">
        <x:v>301563</x:v>
      </x:c>
    </x:row>
    <x:row r="41" ht="24" customHeight="1">
      <x:c r="A41" s="172" t="str">
        <x:v>EDGE-035</x:v>
      </x:c>
      <x:c r="B41" s="173" t="str">
        <x:v>DIRECT</x:v>
      </x:c>
      <x:c r="C41" s="172" t="str">
        <x:v>301563</x:v>
      </x:c>
    </x:row>
    <x:row r="42" ht="24" customHeight="1">
      <x:c r="A42" s="172" t="str">
        <x:v>EDGE-036</x:v>
      </x:c>
      <x:c r="B42" s="173" t="str">
        <x:v>DIRECT</x:v>
      </x:c>
      <x:c r="C42" s="172" t="str">
        <x:v>301563</x:v>
      </x:c>
    </x:row>
    <x:row r="43" ht="24" customHeight="1">
      <x:c r="A43" s="172" t="str">
        <x:v>EDGE-037</x:v>
      </x:c>
      <x:c r="B43" s="173" t="str">
        <x:v>DIRECT</x:v>
      </x:c>
      <x:c r="C43" s="172" t="str">
        <x:v>301563</x:v>
      </x:c>
    </x:row>
    <x:row r="44" ht="24" customHeight="1">
      <x:c r="A44" s="172" t="str">
        <x:v>EDGE-038</x:v>
      </x:c>
      <x:c r="B44" s="173" t="str">
        <x:v>DIRECT</x:v>
      </x:c>
      <x:c r="C44" s="172" t="str">
        <x:v>301563</x:v>
      </x:c>
    </x:row>
    <x:row r="45" ht="24" customHeight="1">
      <x:c r="A45" s="172" t="str">
        <x:v>EDGE-039</x:v>
      </x:c>
      <x:c r="B45" s="173" t="str">
        <x:v>DIRECT</x:v>
      </x:c>
      <x:c r="C45" s="172" t="str">
        <x:v>301563</x:v>
      </x:c>
    </x:row>
    <x:row r="46" ht="24" customHeight="1">
      <x:c r="A46" s="172" t="str">
        <x:v>EDGE-040</x:v>
      </x:c>
      <x:c r="B46" s="173" t="str">
        <x:v>DIRECT</x:v>
      </x:c>
      <x:c r="C46" s="172" t="str">
        <x:v>301563</x:v>
      </x:c>
    </x:row>
    <x:row r="47" ht="24" customHeight="1">
      <x:c r="A47" s="172" t="str">
        <x:v>EDGE-041</x:v>
      </x:c>
      <x:c r="B47" s="173" t="str">
        <x:v>DIRECT</x:v>
      </x:c>
      <x:c r="C47" s="172" t="str">
        <x:v>301563</x:v>
      </x:c>
    </x:row>
    <x:row r="48" ht="24" customHeight="1">
      <x:c r="A48" s="172" t="str">
        <x:v>EDGE-042</x:v>
      </x:c>
      <x:c r="B48" s="173" t="str">
        <x:v>DIRECT</x:v>
      </x:c>
      <x:c r="C48" s="172" t="str">
        <x:v>301563</x:v>
      </x:c>
    </x:row>
    <x:row r="49" ht="24" customHeight="1">
      <x:c r="A49" s="172" t="str">
        <x:v>EDGE-043</x:v>
      </x:c>
      <x:c r="B49" s="173" t="str">
        <x:v>DIRECT</x:v>
      </x:c>
      <x:c r="C49" s="172" t="str">
        <x:v>301563</x:v>
      </x:c>
    </x:row>
    <x:row r="50" ht="24" customHeight="1">
      <x:c r="A50" s="172" t="str">
        <x:v>EDGE-044</x:v>
      </x:c>
      <x:c r="B50" s="173" t="str">
        <x:v>DIRECT</x:v>
      </x:c>
      <x:c r="C50" s="172" t="str">
        <x:v>301563</x:v>
      </x:c>
    </x:row>
    <x:row r="51" ht="24" customHeight="1">
      <x:c r="A51" s="172" t="str">
        <x:v>EDGE-045</x:v>
      </x:c>
      <x:c r="B51" s="173" t="str">
        <x:v>DIRECT</x:v>
      </x:c>
      <x:c r="C51" s="172" t="str">
        <x:v>301563</x:v>
      </x:c>
    </x:row>
    <x:row r="52" ht="24" customHeight="1">
      <x:c r="A52" s="172" t="str">
        <x:v>EDGE-046</x:v>
      </x:c>
      <x:c r="B52" s="173" t="str">
        <x:v>DIRECT</x:v>
      </x:c>
      <x:c r="C52" s="172" t="str">
        <x:v>301563</x:v>
      </x:c>
    </x:row>
    <x:row r="53" ht="24" customHeight="1">
      <x:c r="A53" s="172" t="str">
        <x:v>EDGE-047</x:v>
      </x:c>
      <x:c r="B53" s="173" t="str">
        <x:v>DIRECT</x:v>
      </x:c>
      <x:c r="C53" s="172" t="str">
        <x:v>301563</x:v>
      </x:c>
    </x:row>
    <x:row r="54" ht="24" customHeight="1">
      <x:c r="A54" s="172" t="str">
        <x:v>EDGE-048</x:v>
      </x:c>
      <x:c r="B54" s="173" t="str">
        <x:v>DIRECT</x:v>
      </x:c>
      <x:c r="C54" s="172" t="str">
        <x:v>301563</x:v>
      </x:c>
    </x:row>
    <x:row r="55" ht="24" customHeight="1">
      <x:c r="A55" s="172" t="str">
        <x:v>EDGE-049</x:v>
      </x:c>
      <x:c r="B55" s="173" t="str">
        <x:v>DIRECT</x:v>
      </x:c>
      <x:c r="C55" s="172" t="str">
        <x:v>301563</x:v>
      </x:c>
    </x:row>
    <x:row r="56" ht="24" customHeight="1">
      <x:c r="A56" s="172" t="str">
        <x:v>EDGE-050</x:v>
      </x:c>
      <x:c r="B56" s="173" t="str">
        <x:v>DIRECT</x:v>
      </x:c>
      <x:c r="C56" s="172" t="str">
        <x:v>301563</x:v>
      </x:c>
    </x:row>
    <x:row r="57" ht="24" customHeight="1">
      <x:c r="A57" s="172" t="str">
        <x:v>EDGE-051</x:v>
      </x:c>
      <x:c r="B57" s="173" t="str">
        <x:v>DIRECT</x:v>
      </x:c>
      <x:c r="C57" s="172" t="str">
        <x:v>301563</x:v>
      </x:c>
    </x:row>
    <x:row r="58" ht="24" customHeight="1">
      <x:c r="A58" s="172" t="str">
        <x:v>EDGE-052</x:v>
      </x:c>
      <x:c r="B58" s="173" t="str">
        <x:v>DIRECT</x:v>
      </x:c>
      <x:c r="C58" s="172" t="str">
        <x:v>301563</x:v>
      </x:c>
    </x:row>
    <x:row r="59" ht="24" customHeight="1">
      <x:c r="A59" s="172" t="str">
        <x:v>EDGE-053</x:v>
      </x:c>
      <x:c r="B59" s="173" t="str">
        <x:v>DIRECT</x:v>
      </x:c>
      <x:c r="C59" s="172" t="str">
        <x:v>301563</x:v>
      </x:c>
    </x:row>
    <x:row r="60" ht="24" customHeight="1">
      <x:c r="A60" s="172" t="str">
        <x:v>EDGE-054</x:v>
      </x:c>
      <x:c r="B60" s="173" t="str">
        <x:v>DIRECT</x:v>
      </x:c>
      <x:c r="C60" s="172" t="str">
        <x:v>301563</x:v>
      </x:c>
    </x:row>
    <x:row r="61" ht="24" customHeight="1">
      <x:c r="A61" s="172" t="str">
        <x:v>EDGE-055</x:v>
      </x:c>
      <x:c r="B61" s="173" t="str">
        <x:v>DIRECT</x:v>
      </x:c>
      <x:c r="C61" s="172" t="str">
        <x:v>301563</x:v>
      </x:c>
    </x:row>
    <x:row r="62" ht="24" customHeight="1">
      <x:c r="A62" s="172" t="str">
        <x:v>EDGE-056</x:v>
      </x:c>
      <x:c r="B62" s="173" t="str">
        <x:v>INDIRECT</x:v>
      </x:c>
      <x:c r="C62" s="172" t="str">
        <x:v>301563</x:v>
      </x:c>
    </x:row>
    <x:row r="63" ht="24" customHeight="1">
      <x:c r="A63" s="172" t="str">
        <x:v>EDGE-057</x:v>
      </x:c>
      <x:c r="B63" s="173" t="str">
        <x:v>DIRECT</x:v>
      </x:c>
      <x:c r="C63" s="172" t="str">
        <x:v>301563</x:v>
      </x:c>
    </x:row>
    <x:row r="64" ht="24" customHeight="1">
      <x:c r="A64" s="172" t="str">
        <x:v>EDGE-058</x:v>
      </x:c>
      <x:c r="B64" s="173" t="str">
        <x:v>INDIRECT</x:v>
      </x:c>
      <x:c r="C64" s="172" t="str">
        <x:v>301563</x:v>
      </x:c>
    </x:row>
    <x:row r="65" ht="24" customHeight="1">
      <x:c r="A65" s="172" t="str">
        <x:v>EDGE-059</x:v>
      </x:c>
      <x:c r="B65" s="173" t="str">
        <x:v>INDIRECT</x:v>
      </x:c>
      <x:c r="C65" s="172" t="str">
        <x:v>301563</x:v>
      </x:c>
    </x:row>
    <x:row r="66" ht="24" customHeight="1">
      <x:c r="A66" s="172" t="str">
        <x:v>EDGE-060</x:v>
      </x:c>
      <x:c r="B66" s="173" t="str">
        <x:v>INDIRECT</x:v>
      </x:c>
      <x:c r="C66" s="172" t="str">
        <x:v>301563</x:v>
      </x:c>
    </x:row>
    <x:row r="67" ht="24" customHeight="1">
      <x:c r="A67" s="172" t="str">
        <x:v>EDGE-061</x:v>
      </x:c>
      <x:c r="B67" s="173" t="str">
        <x:v>INDIRECT</x:v>
      </x:c>
      <x:c r="C67" s="172" t="str">
        <x:v>301563</x:v>
      </x:c>
    </x:row>
    <x:row r="68" ht="24" customHeight="1">
      <x:c r="A68" s="172" t="str">
        <x:v>EDGE-062</x:v>
      </x:c>
      <x:c r="B68" s="173" t="str">
        <x:v>INDIRECT</x:v>
      </x:c>
      <x:c r="C68" s="172" t="str">
        <x:v>301563</x:v>
      </x:c>
    </x:row>
    <x:row r="69" ht="24" customHeight="1">
      <x:c r="A69" s="172" t="str">
        <x:v>EDGE-063</x:v>
      </x:c>
      <x:c r="B69" s="173" t="str">
        <x:v>INDIRECT</x:v>
      </x:c>
      <x:c r="C69" s="172" t="str">
        <x:v>301563</x:v>
      </x:c>
    </x:row>
    <x:row r="70" ht="24" customHeight="1">
      <x:c r="A70" s="172" t="str">
        <x:v>EDGE-064</x:v>
      </x:c>
      <x:c r="B70" s="173" t="str">
        <x:v>INDIRECT</x:v>
      </x:c>
      <x:c r="C70" s="172" t="str">
        <x:v>301563</x:v>
      </x:c>
    </x:row>
    <x:row r="71" ht="24" customHeight="1">
      <x:c r="A71" s="172" t="str">
        <x:v>EDGE-065</x:v>
      </x:c>
      <x:c r="B71" s="173" t="str">
        <x:v>INDIRECT</x:v>
      </x:c>
      <x:c r="C71" s="172" t="str">
        <x:v>301563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54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104" t="str">
        <x:v>连续指标描述统计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</x:row>
    <x:row r="2" ht="32" customHeight="1">
      <x:c r="A2" s="132" t="str">
        <x:v>所有计算均由分析视图公式驱动；Q1/Q3使用Excel QUARTILE.INC。小样本结果仅作描述。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  <x:c r="N2" s="132"/>
      <x:c r="O2" s="132"/>
      <x:c r="P2" s="132"/>
    </x:row>
    <x:row r="3">
      <x:c r="A3" s="133"/>
      <x:c r="B3" s="133"/>
      <x:c r="C3" s="133"/>
      <x:c r="D3" s="133"/>
      <x:c r="E3" s="133"/>
      <x:c r="F3" s="133"/>
      <x:c r="G3" s="133"/>
      <x:c r="H3" s="133"/>
      <x:c r="I3" s="133"/>
      <x:c r="J3" s="133"/>
      <x:c r="K3" s="133"/>
      <x:c r="L3" s="133"/>
      <x:c r="M3" s="133"/>
      <x:c r="N3" s="133"/>
      <x:c r="O3" s="133"/>
      <x:c r="P3" s="133"/>
    </x:row>
    <x:row r="4" ht="32" customHeight="1">
      <x:c r="A4" s="150" t="str">
        <x:v>观察单位</x:v>
      </x:c>
      <x:c r="B4" s="151" t="str">
        <x:v>指标</x:v>
      </x:c>
      <x:c r="C4" s="151" t="str">
        <x:v>总N</x:v>
      </x:c>
      <x:c r="D4" s="151" t="str">
        <x:v>有效N</x:v>
      </x:c>
      <x:c r="E4" s="151" t="str">
        <x:v>缺失N</x:v>
      </x:c>
      <x:c r="F4" s="151" t="str">
        <x:v>总和</x:v>
      </x:c>
      <x:c r="G4" s="151" t="str">
        <x:v>均值</x:v>
      </x:c>
      <x:c r="H4" s="151" t="str">
        <x:v>中位数</x:v>
      </x:c>
      <x:c r="I4" s="151" t="str">
        <x:v>Q1</x:v>
      </x:c>
      <x:c r="J4" s="151" t="str">
        <x:v>Q3</x:v>
      </x:c>
      <x:c r="K4" s="151" t="str">
        <x:v>最小值</x:v>
      </x:c>
      <x:c r="L4" s="151" t="str">
        <x:v>最大值</x:v>
      </x:c>
      <x:c r="M4" s="152" t="str">
        <x:v>解释边界</x:v>
      </x:c>
      <x:c r="N4" s="133"/>
      <x:c r="O4" s="133"/>
      <x:c r="P4" s="133"/>
    </x:row>
    <x:row r="5" ht="46" customHeight="1">
      <x:c r="A5" s="153" t="str">
        <x:v>公司</x:v>
      </x:c>
      <x:c r="B5" s="153" t="str">
        <x:v>上市前直接股权融资轮次</x:v>
      </x:c>
      <x:c r="C5" s="188" t="n">
        <x:f>COUNTA('公司层视图'!$A$5:$A$12)</x:f>
        <x:v>8</x:v>
      </x:c>
      <x:c r="D5" s="188" t="n">
        <x:f>COUNT('公司层视图'!$C$5:$C$12)</x:f>
        <x:v>8</x:v>
      </x:c>
      <x:c r="E5" s="188" t="n">
        <x:f>C5-D5</x:f>
        <x:v>0</x:v>
      </x:c>
      <x:c r="F5" s="189" t="n">
        <x:f>IF(D5=0,"",SUM('公司层视图'!$C$5:$C$12))</x:f>
        <x:v>18</x:v>
      </x:c>
      <x:c r="G5" s="189" t="n">
        <x:f>IF(D5=0,"",AVERAGE('公司层视图'!$C$5:$C$12))</x:f>
        <x:v>2.25</x:v>
      </x:c>
      <x:c r="H5" s="189" t="n">
        <x:f>IF(D5=0,"",MEDIAN('公司层视图'!$C$5:$C$12))</x:f>
        <x:v>2</x:v>
      </x:c>
      <x:c r="I5" s="189" t="n">
        <x:f>IF(D5=0,"",QUARTILE.INC('公司层视图'!$C$5:$C$12,1))</x:f>
        <x:v>1</x:v>
      </x:c>
      <x:c r="J5" s="189" t="n">
        <x:f>IF(D5=0,"",QUARTILE.INC('公司层视图'!$C$5:$C$12,3))</x:f>
        <x:v>2.25</x:v>
      </x:c>
      <x:c r="K5" s="189" t="n">
        <x:f>IF(D5=0,"",MIN('公司层视图'!$C$5:$C$12))</x:f>
        <x:v>0</x:v>
      </x:c>
      <x:c r="L5" s="189" t="n">
        <x:f>IF(D5=0,"",MAX('公司层视图'!$C$5:$C$12))</x:f>
        <x:v>7</x:v>
      </x:c>
      <x:c r="M5" s="153" t="str">
        <x:v>8家公司均可计算；0仅表示当前清晰披露范围内未识别融资轮，不自动等于完整历史融资为0。</x:v>
      </x:c>
      <x:c r="N5" s="133"/>
      <x:c r="O5" s="133"/>
      <x:c r="P5" s="133"/>
    </x:row>
    <x:row r="6" ht="46" customHeight="1">
      <x:c r="A6" s="155" t="str">
        <x:v>公司</x:v>
      </x:c>
      <x:c r="B6" s="155" t="str">
        <x:v>可核验公司融资金额下限（万元）</x:v>
      </x:c>
      <x:c r="C6" s="190" t="n">
        <x:f>COUNTA('公司层视图'!$A$5:$A$12)</x:f>
        <x:v>8</x:v>
      </x:c>
      <x:c r="D6" s="190" t="n">
        <x:f>COUNT('公司层视图'!$D$5:$D$12)</x:f>
        <x:v>7</x:v>
      </x:c>
      <x:c r="E6" s="190" t="n">
        <x:f>C6-D6</x:f>
        <x:v>1</x:v>
      </x:c>
      <x:c r="F6" s="191" t="n">
        <x:f>IF(D6=0,"",SUM('公司层视图'!$D$5:$D$12))</x:f>
        <x:v>173663.58827399998</x:v>
      </x:c>
      <x:c r="G6" s="191" t="n">
        <x:f>IF(D6=0,"",AVERAGE('公司层视图'!$D$5:$D$12))</x:f>
        <x:v>24809.084039142854</x:v>
      </x:c>
      <x:c r="H6" s="191" t="n">
        <x:f>IF(D6=0,"",MEDIAN('公司层视图'!$D$5:$D$12))</x:f>
        <x:v>13655.098274</x:v>
      </x:c>
      <x:c r="I6" s="191" t="n">
        <x:f>IF(D6=0,"",QUARTILE.INC('公司层视图'!$D$5:$D$12,1))</x:f>
        <x:v>4411.245</x:v>
      </x:c>
      <x:c r="J6" s="191" t="n">
        <x:f>IF(D6=0,"",QUARTILE.INC('公司层视图'!$D$5:$D$12,3))</x:f>
        <x:v>37810</x:v>
      </x:c>
      <x:c r="K6" s="191" t="n">
        <x:f>IF(D6=0,"",MIN('公司层视图'!$D$5:$D$12))</x:f>
        <x:v>1566</x:v>
      </x:c>
      <x:c r="L6" s="191" t="n">
        <x:f>IF(D6=0,"",MAX('公司层视图'!$D$5:$D$12))</x:f>
        <x:v>74000</x:v>
      </x:c>
      <x:c r="M6" s="155" t="str">
        <x:v>仅7家公司非空；影石创新为不可还原而非0；云汉芯城为已知下限。</x:v>
      </x:c>
      <x:c r="N6" s="133"/>
      <x:c r="O6" s="133"/>
      <x:c r="P6" s="133"/>
    </x:row>
    <x:row r="7" ht="46" customHeight="1">
      <x:c r="A7" s="155" t="str">
        <x:v>公司</x:v>
      </x:c>
      <x:c r="B7" s="155" t="str">
        <x:v>可核验股权转让对价下限（万元）</x:v>
      </x:c>
      <x:c r="C7" s="190" t="n">
        <x:f>COUNTA('公司层视图'!$A$5:$A$12)</x:f>
        <x:v>8</x:v>
      </x:c>
      <x:c r="D7" s="190" t="n">
        <x:f>COUNT('公司层视图'!$F$5:$F$12)</x:f>
        <x:v>4</x:v>
      </x:c>
      <x:c r="E7" s="190" t="n">
        <x:f>C7-D7</x:f>
        <x:v>4</x:v>
      </x:c>
      <x:c r="F7" s="192" t="n">
        <x:f>IF(D7=0,"",SUM('公司层视图'!$F$5:$F$12))</x:f>
        <x:v>17480.908</x:v>
      </x:c>
      <x:c r="G7" s="192" t="n">
        <x:f>IF(D7=0,"",AVERAGE('公司层视图'!$F$5:$F$12))</x:f>
        <x:v>4370.227</x:v>
      </x:c>
      <x:c r="H7" s="192" t="n">
        <x:f>IF(D7=0,"",MEDIAN('公司层视图'!$F$5:$F$12))</x:f>
        <x:v>2231.3563</x:v>
      </x:c>
      <x:c r="I7" s="192" t="n">
        <x:f>IF(D7=0,"",QUARTILE.INC('公司层视图'!$F$5:$F$12,1))</x:f>
        <x:v>1097.03445</x:v>
      </x:c>
      <x:c r="J7" s="192" t="n">
        <x:f>IF(D7=0,"",QUARTILE.INC('公司层视图'!$F$5:$F$12,3))</x:f>
        <x:v>5504.54885</x:v>
      </x:c>
      <x:c r="K7" s="192" t="n">
        <x:f>IF(D7=0,"",MIN('公司层视图'!$F$5:$F$12))</x:f>
        <x:v>0</x:v>
      </x:c>
      <x:c r="L7" s="192" t="n">
        <x:f>IF(D7=0,"",MAX('公司层视图'!$F$5:$F$12))</x:f>
        <x:v>13018.1954</x:v>
      </x:c>
      <x:c r="M7" s="155" t="str">
        <x:v>仅4家公司存在可用值，其中黄山谷捷原文明示为0；其余null不转0。</x:v>
      </x:c>
      <x:c r="N7" s="133"/>
      <x:c r="O7" s="133"/>
      <x:c r="P7" s="133"/>
    </x:row>
    <x:row r="8" ht="46" customHeight="1">
      <x:c r="A8" s="155" t="str">
        <x:v>公司</x:v>
      </x:c>
      <x:c r="B8" s="155" t="str">
        <x:v>直接法律主体数</x:v>
      </x:c>
      <x:c r="C8" s="190" t="n">
        <x:f>COUNTA('公司层视图'!$A$5:$A$12)</x:f>
        <x:v>8</x:v>
      </x:c>
      <x:c r="D8" s="190" t="n">
        <x:f>COUNT('公司层视图'!$H$5:$H$12)</x:f>
        <x:v>8</x:v>
      </x:c>
      <x:c r="E8" s="190" t="n">
        <x:f>C8-D8</x:f>
        <x:v>0</x:v>
      </x:c>
      <x:c r="F8" s="193" t="n">
        <x:f>IF(D8=0,"",SUM('公司层视图'!$H$5:$H$12))</x:f>
        <x:v>93</x:v>
      </x:c>
      <x:c r="G8" s="193" t="n">
        <x:f>IF(D8=0,"",AVERAGE('公司层视图'!$H$5:$H$12))</x:f>
        <x:v>11.625</x:v>
      </x:c>
      <x:c r="H8" s="193" t="n">
        <x:f>IF(D8=0,"",MEDIAN('公司层视图'!$H$5:$H$12))</x:f>
        <x:v>9.5</x:v>
      </x:c>
      <x:c r="I8" s="193" t="n">
        <x:f>IF(D8=0,"",QUARTILE.INC('公司层视图'!$H$5:$H$12,1))</x:f>
        <x:v>2.5</x:v>
      </x:c>
      <x:c r="J8" s="193" t="n">
        <x:f>IF(D8=0,"",QUARTILE.INC('公司层视图'!$H$5:$H$12,3))</x:f>
        <x:v>17</x:v>
      </x:c>
      <x:c r="K8" s="193" t="n">
        <x:f>IF(D8=0,"",MIN('公司层视图'!$H$5:$H$12))</x:f>
        <x:v>1</x:v>
      </x:c>
      <x:c r="L8" s="193" t="n">
        <x:f>IF(D8=0,"",MAX('公司层视图'!$H$5:$H$12))</x:f>
        <x:v>35</x:v>
      </x:c>
      <x:c r="M8" s="155" t="str">
        <x:v>公司内唯一直接法律主体数；不等于确认PE/VC主体数。</x:v>
      </x:c>
      <x:c r="N8" s="133"/>
      <x:c r="O8" s="133"/>
      <x:c r="P8" s="133"/>
    </x:row>
    <x:row r="9" ht="46" customHeight="1">
      <x:c r="A9" s="155" t="str">
        <x:v>公司</x:v>
      </x:c>
      <x:c r="B9" s="155" t="str">
        <x:v>确认PE/VC法律主体数</x:v>
      </x:c>
      <x:c r="C9" s="190" t="n">
        <x:f>COUNTA('公司层视图'!$A$5:$A$12)</x:f>
        <x:v>8</x:v>
      </x:c>
      <x:c r="D9" s="190" t="n">
        <x:f>COUNT('公司层视图'!$I$5:$I$12)</x:f>
        <x:v>8</x:v>
      </x:c>
      <x:c r="E9" s="190" t="n">
        <x:f>C9-D9</x:f>
        <x:v>0</x:v>
      </x:c>
      <x:c r="F9" s="193" t="n">
        <x:f>IF(D9=0,"",SUM('公司层视图'!$I$5:$I$12))</x:f>
        <x:v>16</x:v>
      </x:c>
      <x:c r="G9" s="193" t="n">
        <x:f>IF(D9=0,"",AVERAGE('公司层视图'!$I$5:$I$12))</x:f>
        <x:v>2</x:v>
      </x:c>
      <x:c r="H9" s="193" t="n">
        <x:f>IF(D9=0,"",MEDIAN('公司层视图'!$I$5:$I$12))</x:f>
        <x:v>0</x:v>
      </x:c>
      <x:c r="I9" s="193" t="n">
        <x:f>IF(D9=0,"",QUARTILE.INC('公司层视图'!$I$5:$I$12,1))</x:f>
        <x:v>0</x:v>
      </x:c>
      <x:c r="J9" s="193" t="n">
        <x:f>IF(D9=0,"",QUARTILE.INC('公司层视图'!$I$5:$I$12,3))</x:f>
        <x:v>2</x:v>
      </x:c>
      <x:c r="K9" s="193" t="n">
        <x:f>IF(D9=0,"",MIN('公司层视图'!$I$5:$I$12))</x:f>
        <x:v>0</x:v>
      </x:c>
      <x:c r="L9" s="193" t="n">
        <x:f>IF(D9=0,"",MAX('公司层视图'!$I$5:$I$12))</x:f>
        <x:v>12</x:v>
      </x:c>
      <x:c r="M9" s="155" t="str">
        <x:v>仅统计PEVC_CONFIRMED；candidate/related/unresolved不计入。</x:v>
      </x:c>
      <x:c r="N9" s="133"/>
      <x:c r="O9" s="133"/>
      <x:c r="P9" s="133"/>
    </x:row>
    <x:row r="10" ht="46" customHeight="1">
      <x:c r="A10" s="155" t="str">
        <x:v>融资轮次</x:v>
      </x:c>
      <x:c r="B10" s="155" t="str">
        <x:v>单轮可核验融资金额（万元）</x:v>
      </x:c>
      <x:c r="C10" s="190" t="n">
        <x:f>COUNTA('融资轮次视图'!$A$5:$A$22)</x:f>
        <x:v>18</x:v>
      </x:c>
      <x:c r="D10" s="190" t="n">
        <x:f>COUNT('融资轮次视图'!$I$5:$I$22)</x:f>
        <x:v>14</x:v>
      </x:c>
      <x:c r="E10" s="190" t="n">
        <x:f>C10-D10</x:f>
        <x:v>4</x:v>
      </x:c>
      <x:c r="F10" s="191" t="n">
        <x:f>IF(D10=0,"",SUM('融资轮次视图'!$I$5:$I$22))</x:f>
        <x:v>173543.58827399998</x:v>
      </x:c>
      <x:c r="G10" s="191" t="n">
        <x:f>IF(D10=0,"",AVERAGE('融资轮次视图'!$I$5:$I$22))</x:f>
        <x:v>12395.970591</x:v>
      </x:c>
      <x:c r="H10" s="191" t="n">
        <x:f>IF(D10=0,"",MEDIAN('融资轮次视图'!$I$5:$I$22))</x:f>
        <x:v>6000</x:v>
      </x:c>
      <x:c r="I10" s="191" t="n">
        <x:f>IF(D10=0,"",QUARTILE.INC('融资轮次视图'!$I$5:$I$22,1))</x:f>
        <x:v>2187.20966</x:v>
      </x:c>
      <x:c r="J10" s="191" t="n">
        <x:f>IF(D10=0,"",QUARTILE.INC('融资轮次视图'!$I$5:$I$22,3))</x:f>
        <x:v>14132.571348499998</x:v>
      </x:c>
      <x:c r="K10" s="191" t="n">
        <x:f>IF(D10=0,"",MIN('融资轮次视图'!$I$5:$I$22))</x:f>
        <x:v>1500</x:v>
      </x:c>
      <x:c r="L10" s="191" t="n">
        <x:f>IF(D10=0,"",MAX('融资轮次视图'!$I$5:$I$22))</x:f>
        <x:v>54000</x:v>
      </x:c>
      <x:c r="M10" s="155" t="str">
        <x:v>18轮事件锚点中14轮金额非空、4轮未披露；锚点合计比公司/交易组成层少120万元，差额来自云汉CE-010分组中的TRX-301563-INC-007。</x:v>
      </x:c>
      <x:c r="N10" s="133"/>
      <x:c r="O10" s="133"/>
      <x:c r="P10" s="133"/>
    </x:row>
    <x:row r="11">
      <x:c r="A11" s="133"/>
      <x:c r="B11" s="133"/>
      <x:c r="C11" s="133"/>
      <x:c r="D11" s="133"/>
      <x:c r="E11" s="133"/>
      <x:c r="F11" s="133"/>
      <x:c r="G11" s="133"/>
      <x:c r="H11" s="133"/>
      <x:c r="I11" s="133"/>
      <x:c r="J11" s="133"/>
      <x:c r="K11" s="133"/>
      <x:c r="L11" s="133"/>
      <x:c r="M11" s="133"/>
      <x:c r="N11" s="133"/>
      <x:c r="O11" s="133"/>
      <x:c r="P11" s="133"/>
    </x:row>
    <x:row r="12">
      <x:c r="A12" s="133"/>
      <x:c r="B12" s="133"/>
      <x:c r="C12" s="133"/>
      <x:c r="D12" s="133"/>
      <x:c r="E12" s="133"/>
      <x:c r="F12" s="133"/>
      <x:c r="G12" s="133"/>
      <x:c r="H12" s="133"/>
      <x:c r="I12" s="133"/>
      <x:c r="J12" s="133"/>
      <x:c r="K12" s="133"/>
      <x:c r="L12" s="133"/>
      <x:c r="M12" s="133"/>
      <x:c r="N12" s="133"/>
      <x:c r="O12" s="133"/>
      <x:c r="P12" s="133"/>
    </x:row>
    <x:row r="13" ht="24" customHeight="1">
      <x:c r="A13" s="131" t="str">
        <x:v>公司比较图（描述性，不用于排名优劣）</x:v>
      </x:c>
      <x:c r="B13" s="131"/>
      <x:c r="C13" s="131"/>
      <x:c r="D13" s="131"/>
      <x:c r="E13" s="131"/>
      <x:c r="F13" s="131"/>
      <x:c r="G13" s="131"/>
      <x:c r="H13" s="131"/>
      <x:c r="I13" s="131"/>
      <x:c r="J13" s="131"/>
      <x:c r="K13" s="131"/>
      <x:c r="L13" s="131"/>
      <x:c r="M13" s="131"/>
      <x:c r="N13" s="131"/>
      <x:c r="O13" s="131"/>
      <x:c r="P13" s="131"/>
    </x:row>
    <x:row r="14">
      <x:c r="A14" s="133"/>
      <x:c r="B14" s="133"/>
      <x:c r="C14" s="133"/>
      <x:c r="D14" s="133"/>
      <x:c r="E14" s="133"/>
      <x:c r="F14" s="133"/>
      <x:c r="G14" s="133"/>
      <x:c r="H14" s="133"/>
      <x:c r="I14" s="133"/>
      <x:c r="J14" s="133"/>
      <x:c r="K14" s="133"/>
      <x:c r="L14" s="133"/>
      <x:c r="M14" s="133"/>
      <x:c r="N14" s="133"/>
      <x:c r="O14" s="133"/>
      <x:c r="P14" s="133"/>
    </x:row>
    <x:row r="15">
      <x:c r="A15" s="133"/>
      <x:c r="B15" s="133"/>
      <x:c r="C15" s="133"/>
      <x:c r="D15" s="133"/>
      <x:c r="E15" s="133"/>
      <x:c r="F15" s="133"/>
      <x:c r="G15" s="133"/>
      <x:c r="H15" s="133"/>
      <x:c r="I15" s="133"/>
      <x:c r="J15" s="133"/>
      <x:c r="K15" s="133"/>
      <x:c r="L15" s="133"/>
      <x:c r="M15" s="133"/>
      <x:c r="N15" s="133"/>
      <x:c r="O15" s="133"/>
      <x:c r="P15" s="133"/>
    </x:row>
    <x:row r="16">
      <x:c r="A16" s="133"/>
      <x:c r="B16" s="133"/>
      <x:c r="C16" s="133"/>
      <x:c r="D16" s="133"/>
      <x:c r="E16" s="133"/>
      <x:c r="F16" s="133"/>
      <x:c r="G16" s="133"/>
      <x:c r="H16" s="133"/>
      <x:c r="I16" s="133"/>
      <x:c r="J16" s="133"/>
      <x:c r="K16" s="133"/>
      <x:c r="L16" s="133"/>
      <x:c r="M16" s="133"/>
      <x:c r="N16" s="133"/>
      <x:c r="O16" s="133"/>
      <x:c r="P16" s="133"/>
    </x:row>
    <x:row r="17">
      <x:c r="A17" s="133"/>
      <x:c r="B17" s="133"/>
      <x:c r="C17" s="133"/>
      <x:c r="D17" s="133"/>
      <x:c r="E17" s="133"/>
      <x:c r="F17" s="133"/>
      <x:c r="G17" s="133"/>
      <x:c r="H17" s="133"/>
      <x:c r="I17" s="133"/>
      <x:c r="J17" s="133"/>
      <x:c r="K17" s="133"/>
      <x:c r="L17" s="133"/>
      <x:c r="M17" s="133"/>
      <x:c r="N17" s="133"/>
      <x:c r="O17" s="133"/>
      <x:c r="P17" s="133"/>
    </x:row>
    <x:row r="18">
      <x:c r="A18" s="133"/>
      <x:c r="B18" s="133"/>
      <x:c r="C18" s="133"/>
      <x:c r="D18" s="133"/>
      <x:c r="E18" s="133"/>
      <x:c r="F18" s="133"/>
      <x:c r="G18" s="133"/>
      <x:c r="H18" s="133"/>
      <x:c r="I18" s="133"/>
      <x:c r="J18" s="133"/>
      <x:c r="K18" s="133"/>
      <x:c r="L18" s="133"/>
      <x:c r="M18" s="133"/>
      <x:c r="N18" s="133"/>
      <x:c r="O18" s="133"/>
      <x:c r="P18" s="133"/>
    </x:row>
    <x:row r="19">
      <x:c r="A19" s="133"/>
      <x:c r="B19" s="133"/>
      <x:c r="C19" s="133"/>
      <x:c r="D19" s="133"/>
      <x:c r="E19" s="133"/>
      <x:c r="F19" s="133"/>
      <x:c r="G19" s="133"/>
      <x:c r="H19" s="133"/>
      <x:c r="I19" s="133"/>
      <x:c r="J19" s="133"/>
      <x:c r="K19" s="133"/>
      <x:c r="L19" s="133"/>
      <x:c r="M19" s="133"/>
      <x:c r="N19" s="133"/>
      <x:c r="O19" s="133"/>
      <x:c r="P19" s="133"/>
    </x:row>
    <x:row r="20">
      <x:c r="A20" s="133"/>
      <x:c r="B20" s="133"/>
      <x:c r="C20" s="133"/>
      <x:c r="D20" s="133"/>
      <x:c r="E20" s="133"/>
      <x:c r="F20" s="133"/>
      <x:c r="G20" s="133"/>
      <x:c r="H20" s="133"/>
      <x:c r="I20" s="133"/>
      <x:c r="J20" s="133"/>
      <x:c r="K20" s="133"/>
      <x:c r="L20" s="133"/>
      <x:c r="M20" s="133"/>
      <x:c r="N20" s="133"/>
      <x:c r="O20" s="133"/>
      <x:c r="P20" s="133"/>
    </x:row>
    <x:row r="21">
      <x:c r="A21" s="133"/>
      <x:c r="B21" s="133"/>
      <x:c r="C21" s="133"/>
      <x:c r="D21" s="133"/>
      <x:c r="E21" s="133"/>
      <x:c r="F21" s="133"/>
      <x:c r="G21" s="133"/>
      <x:c r="H21" s="133"/>
      <x:c r="I21" s="133"/>
      <x:c r="J21" s="133"/>
      <x:c r="K21" s="133"/>
      <x:c r="L21" s="133"/>
      <x:c r="M21" s="133"/>
      <x:c r="N21" s="133"/>
      <x:c r="O21" s="133"/>
      <x:c r="P21" s="133"/>
    </x:row>
    <x:row r="22">
      <x:c r="A22" s="133"/>
      <x:c r="B22" s="133"/>
      <x:c r="C22" s="133"/>
      <x:c r="D22" s="133"/>
      <x:c r="E22" s="133"/>
      <x:c r="F22" s="133"/>
      <x:c r="G22" s="133"/>
      <x:c r="H22" s="133"/>
      <x:c r="I22" s="133"/>
      <x:c r="J22" s="133"/>
      <x:c r="K22" s="133"/>
      <x:c r="L22" s="133"/>
      <x:c r="M22" s="133"/>
      <x:c r="N22" s="133"/>
      <x:c r="O22" s="133"/>
      <x:c r="P22" s="133"/>
    </x:row>
    <x:row r="23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  <x:c r="K23" s="133"/>
      <x:c r="L23" s="133"/>
      <x:c r="M23" s="133"/>
      <x:c r="N23" s="133"/>
      <x:c r="O23" s="133"/>
      <x:c r="P23" s="133"/>
    </x:row>
    <x:row r="24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  <x:c r="K24" s="133"/>
      <x:c r="L24" s="133"/>
      <x:c r="M24" s="133"/>
      <x:c r="N24" s="133"/>
      <x:c r="O24" s="133"/>
      <x:c r="P24" s="133"/>
    </x:row>
    <x:row r="25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  <x:c r="K25" s="133"/>
      <x:c r="L25" s="133"/>
      <x:c r="M25" s="133"/>
      <x:c r="N25" s="133"/>
      <x:c r="O25" s="133"/>
      <x:c r="P25" s="133"/>
    </x:row>
    <x:row r="26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  <x:c r="K26" s="133"/>
      <x:c r="L26" s="133"/>
      <x:c r="M26" s="133"/>
      <x:c r="N26" s="133"/>
      <x:c r="O26" s="133"/>
      <x:c r="P26" s="133"/>
    </x:row>
    <x:row r="27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  <x:c r="K27" s="133"/>
      <x:c r="L27" s="133"/>
      <x:c r="M27" s="133"/>
      <x:c r="N27" s="133"/>
      <x:c r="O27" s="133"/>
      <x:c r="P27" s="133"/>
    </x:row>
    <x:row r="28">
      <x:c r="A28" s="133"/>
      <x:c r="B28" s="133"/>
      <x:c r="C28" s="133"/>
      <x:c r="D28" s="133"/>
      <x:c r="E28" s="133"/>
      <x:c r="F28" s="133"/>
      <x:c r="G28" s="133"/>
      <x:c r="H28" s="133"/>
      <x:c r="I28" s="133"/>
      <x:c r="J28" s="133"/>
      <x:c r="K28" s="133"/>
      <x:c r="L28" s="133"/>
      <x:c r="M28" s="133"/>
      <x:c r="N28" s="133"/>
      <x:c r="O28" s="133"/>
      <x:c r="P28" s="133"/>
    </x:row>
    <x:row r="29">
      <x:c r="A29" s="133"/>
      <x:c r="B29" s="133"/>
      <x:c r="C29" s="133"/>
      <x:c r="D29" s="133"/>
      <x:c r="E29" s="133"/>
      <x:c r="F29" s="133"/>
      <x:c r="G29" s="133"/>
      <x:c r="H29" s="133"/>
      <x:c r="I29" s="133"/>
      <x:c r="J29" s="133"/>
      <x:c r="K29" s="133"/>
      <x:c r="L29" s="133"/>
      <x:c r="M29" s="133"/>
      <x:c r="N29" s="133"/>
      <x:c r="O29" s="133"/>
      <x:c r="P29" s="133"/>
    </x:row>
    <x:row r="30">
      <x:c r="A30" s="133"/>
      <x:c r="B30" s="133"/>
      <x:c r="C30" s="133"/>
      <x:c r="D30" s="133"/>
      <x:c r="E30" s="133"/>
      <x:c r="F30" s="133"/>
      <x:c r="G30" s="133"/>
      <x:c r="H30" s="133"/>
      <x:c r="I30" s="133"/>
      <x:c r="J30" s="133"/>
      <x:c r="K30" s="133"/>
      <x:c r="L30" s="133"/>
      <x:c r="M30" s="133"/>
      <x:c r="N30" s="133"/>
      <x:c r="O30" s="133"/>
      <x:c r="P30" s="133"/>
    </x:row>
    <x:row r="31">
      <x:c r="A31" s="133"/>
      <x:c r="B31" s="133"/>
      <x:c r="C31" s="133"/>
      <x:c r="D31" s="133"/>
      <x:c r="E31" s="133"/>
      <x:c r="F31" s="133"/>
      <x:c r="G31" s="133"/>
      <x:c r="H31" s="133"/>
      <x:c r="I31" s="133"/>
      <x:c r="J31" s="133"/>
      <x:c r="K31" s="133"/>
      <x:c r="L31" s="133"/>
      <x:c r="M31" s="133"/>
      <x:c r="N31" s="133"/>
      <x:c r="O31" s="133"/>
      <x:c r="P31" s="133"/>
    </x:row>
    <x:row r="32" ht="32" customHeight="1">
      <x:c r="A32" s="150" t="str">
        <x:v>公司</x:v>
      </x:c>
      <x:c r="B32" s="152" t="str">
        <x:v>融资轮次</x:v>
      </x:c>
      <x:c r="C32" s="133"/>
      <x:c r="D32" s="150" t="str">
        <x:v>公司（仅非空）</x:v>
      </x:c>
      <x:c r="E32" s="152" t="str">
        <x:v>融资金额下限_万元</x:v>
      </x:c>
      <x:c r="F32" s="133"/>
      <x:c r="G32" s="133"/>
      <x:c r="H32" s="133"/>
      <x:c r="I32" s="133"/>
      <x:c r="J32" s="133"/>
      <x:c r="K32" s="133"/>
      <x:c r="L32" s="133"/>
      <x:c r="M32" s="133"/>
      <x:c r="N32" s="133"/>
      <x:c r="O32" s="133"/>
      <x:c r="P32" s="133"/>
    </x:row>
    <x:row r="33">
      <x:c r="A33" s="153" t="str">
        <x:f>'公司层视图'!$B$5</x:f>
        <x:v>云汉芯城</x:v>
      </x:c>
      <x:c r="B33" s="188" t="n">
        <x:f>'公司层视图'!$C$5</x:f>
        <x:v>7</x:v>
      </x:c>
      <x:c r="C33" s="133"/>
      <x:c r="D33" s="153" t="str">
        <x:f>'公司层视图'!$B$9</x:f>
        <x:v>赛分科技</x:v>
      </x:c>
      <x:c r="E33" s="189" t="n">
        <x:f>'公司层视图'!$D$9</x:f>
        <x:v>74000</x:v>
      </x:c>
      <x:c r="F33" s="133"/>
      <x:c r="G33" s="133"/>
      <x:c r="H33" s="133"/>
      <x:c r="I33" s="133"/>
      <x:c r="J33" s="133"/>
      <x:c r="K33" s="133"/>
      <x:c r="L33" s="133"/>
      <x:c r="M33" s="133"/>
      <x:c r="N33" s="133"/>
      <x:c r="O33" s="133"/>
      <x:c r="P33" s="133"/>
    </x:row>
    <x:row r="34">
      <x:c r="A34" s="155" t="str">
        <x:f>'公司层视图'!$B$9</x:f>
        <x:v>赛分科技</x:v>
      </x:c>
      <x:c r="B34" s="190" t="n">
        <x:f>'公司层视图'!$C$9</x:f>
        <x:v>3</x:v>
      </x:c>
      <x:c r="C34" s="133"/>
      <x:c r="D34" s="155" t="str">
        <x:f>'公司层视图'!$B$8</x:f>
        <x:v>友升股份</x:v>
      </x:c>
      <x:c r="E34" s="193" t="n">
        <x:f>'公司层视图'!$D$8</x:f>
        <x:v>48500</x:v>
      </x:c>
      <x:c r="F34" s="133"/>
      <x:c r="G34" s="133"/>
      <x:c r="H34" s="133"/>
      <x:c r="I34" s="133"/>
      <x:c r="J34" s="133"/>
      <x:c r="K34" s="133"/>
      <x:c r="L34" s="133"/>
      <x:c r="M34" s="133"/>
      <x:c r="N34" s="133"/>
      <x:c r="O34" s="133"/>
      <x:c r="P34" s="133"/>
    </x:row>
    <x:row r="35">
      <x:c r="A35" s="155" t="str">
        <x:f>'公司层视图'!$B$11</x:f>
        <x:v>三协电机</x:v>
      </x:c>
      <x:c r="B35" s="190" t="n">
        <x:f>'公司层视图'!$C$11</x:f>
        <x:v>2</x:v>
      </x:c>
      <x:c r="C35" s="133"/>
      <x:c r="D35" s="155" t="str">
        <x:f>'公司层视图'!$B$5</x:f>
        <x:v>云汉芯城</x:v>
      </x:c>
      <x:c r="E35" s="193" t="n">
        <x:f>'公司层视图'!$D$5</x:f>
        <x:v>27120</x:v>
      </x:c>
      <x:c r="F35" s="133"/>
      <x:c r="G35" s="133"/>
      <x:c r="H35" s="133"/>
      <x:c r="I35" s="133"/>
      <x:c r="J35" s="133"/>
      <x:c r="K35" s="133"/>
      <x:c r="L35" s="133"/>
      <x:c r="M35" s="133"/>
      <x:c r="N35" s="133"/>
      <x:c r="O35" s="133"/>
      <x:c r="P35" s="133"/>
    </x:row>
    <x:row r="36">
      <x:c r="A36" s="155" t="str">
        <x:f>'公司层视图'!$B$8</x:f>
        <x:v>友升股份</x:v>
      </x:c>
      <x:c r="B36" s="190" t="n">
        <x:f>'公司层视图'!$C$8</x:f>
        <x:v>2</x:v>
      </x:c>
      <x:c r="C36" s="133"/>
      <x:c r="D36" s="155" t="str">
        <x:f>'公司层视图'!$B$7</x:f>
        <x:v>黄山谷捷</x:v>
      </x:c>
      <x:c r="E36" s="193" t="n">
        <x:f>'公司层视图'!$D$7</x:f>
        <x:v>13655.098274</x:v>
      </x:c>
      <x:c r="F36" s="133"/>
      <x:c r="G36" s="133"/>
      <x:c r="H36" s="133"/>
      <x:c r="I36" s="133"/>
      <x:c r="J36" s="133"/>
      <x:c r="K36" s="133"/>
      <x:c r="L36" s="133"/>
      <x:c r="M36" s="133"/>
      <x:c r="N36" s="133"/>
      <x:c r="O36" s="133"/>
      <x:c r="P36" s="133"/>
    </x:row>
    <x:row r="37">
      <x:c r="A37" s="155" t="str">
        <x:f>'公司层视图'!$B$7</x:f>
        <x:v>黄山谷捷</x:v>
      </x:c>
      <x:c r="B37" s="190" t="n">
        <x:f>'公司层视图'!$C$7</x:f>
        <x:v>2</x:v>
      </x:c>
      <x:c r="C37" s="133"/>
      <x:c r="D37" s="155" t="str">
        <x:f>'公司层视图'!$B$12</x:f>
        <x:v>星图测控</x:v>
      </x:c>
      <x:c r="E37" s="193" t="n">
        <x:f>'公司层视图'!$D$12</x:f>
        <x:v>4725</x:v>
      </x:c>
      <x:c r="F37" s="133"/>
      <x:c r="G37" s="133"/>
      <x:c r="H37" s="133"/>
      <x:c r="I37" s="133"/>
      <x:c r="J37" s="133"/>
      <x:c r="K37" s="133"/>
      <x:c r="L37" s="133"/>
      <x:c r="M37" s="133"/>
      <x:c r="N37" s="133"/>
      <x:c r="O37" s="133"/>
      <x:c r="P37" s="133"/>
    </x:row>
    <x:row r="38">
      <x:c r="A38" s="155" t="str">
        <x:f>'公司层视图'!$B$6</x:f>
        <x:v>三联锻造</x:v>
      </x:c>
      <x:c r="B38" s="190" t="n">
        <x:f>'公司层视图'!$C$6</x:f>
        <x:v>1</x:v>
      </x:c>
      <x:c r="C38" s="133"/>
      <x:c r="D38" s="155" t="str">
        <x:f>'公司层视图'!$B$11</x:f>
        <x:v>三协电机</x:v>
      </x:c>
      <x:c r="E38" s="193" t="n">
        <x:f>'公司层视图'!$D$11</x:f>
        <x:v>4097.49</x:v>
      </x:c>
      <x:c r="F38" s="133"/>
      <x:c r="G38" s="133"/>
      <x:c r="H38" s="133"/>
      <x:c r="I38" s="133"/>
      <x:c r="J38" s="133"/>
      <x:c r="K38" s="133"/>
      <x:c r="L38" s="133"/>
      <x:c r="M38" s="133"/>
      <x:c r="N38" s="133"/>
      <x:c r="O38" s="133"/>
      <x:c r="P38" s="133"/>
    </x:row>
    <x:row r="39">
      <x:c r="A39" s="155" t="str">
        <x:f>'公司层视图'!$B$12</x:f>
        <x:v>星图测控</x:v>
      </x:c>
      <x:c r="B39" s="190" t="n">
        <x:f>'公司层视图'!$C$12</x:f>
        <x:v>1</x:v>
      </x:c>
      <x:c r="C39" s="133"/>
      <x:c r="D39" s="155" t="str">
        <x:f>'公司层视图'!$B$6</x:f>
        <x:v>三联锻造</x:v>
      </x:c>
      <x:c r="E39" s="193" t="n">
        <x:f>'公司层视图'!$D$6</x:f>
        <x:v>1566</x:v>
      </x:c>
      <x:c r="F39" s="133"/>
      <x:c r="G39" s="133"/>
      <x:c r="H39" s="133"/>
      <x:c r="I39" s="133"/>
      <x:c r="J39" s="133"/>
      <x:c r="K39" s="133"/>
      <x:c r="L39" s="133"/>
      <x:c r="M39" s="133"/>
      <x:c r="N39" s="133"/>
      <x:c r="O39" s="133"/>
      <x:c r="P39" s="133"/>
    </x:row>
    <x:row r="40">
      <x:c r="A40" s="155" t="str">
        <x:f>'公司层视图'!$B$10</x:f>
        <x:v>影石创新</x:v>
      </x:c>
      <x:c r="B40" s="190" t="n">
        <x:f>'公司层视图'!$C$10</x:f>
        <x:v>0</x:v>
      </x:c>
      <x:c r="C40" s="133"/>
      <x:c r="D40" s="133"/>
      <x:c r="E40" s="133"/>
      <x:c r="F40" s="133"/>
      <x:c r="G40" s="133"/>
      <x:c r="H40" s="133"/>
      <x:c r="I40" s="133"/>
      <x:c r="J40" s="133"/>
      <x:c r="K40" s="133"/>
      <x:c r="L40" s="133"/>
      <x:c r="M40" s="133"/>
      <x:c r="N40" s="133"/>
      <x:c r="O40" s="133"/>
      <x:c r="P40" s="133"/>
    </x:row>
    <x:row r="41">
      <x:c r="A41" s="133"/>
      <x:c r="B41" s="133"/>
      <x:c r="C41" s="133"/>
      <x:c r="D41" s="194" t="str">
        <x:v>注：影石创新金额为null，未进入金额图，也未按0展示。</x:v>
      </x:c>
      <x:c r="E41" s="194"/>
      <x:c r="F41" s="133"/>
      <x:c r="G41" s="133"/>
      <x:c r="H41" s="133"/>
      <x:c r="I41" s="133"/>
      <x:c r="J41" s="133"/>
      <x:c r="K41" s="133"/>
      <x:c r="L41" s="133"/>
      <x:c r="M41" s="133"/>
      <x:c r="N41" s="133"/>
      <x:c r="O41" s="133"/>
      <x:c r="P41" s="133"/>
    </x:row>
  </x:sheetData>
  <x:mergeCells>
    <x:mergeCell ref="A1:P1"/>
    <x:mergeCell ref="A2:P2"/>
    <x:mergeCell ref="A13:P13"/>
    <x:mergeCell ref="D41:E41"/>
  </x:mergeCells>
  <x:pageMargins left="0.7" right="0.7" top="0.75" bottom="0.75" header="0.3" footer="0.3"/>
  <x:drawing xmlns:r="http://schemas.openxmlformats.org/officeDocument/2006/relationships" r:id="R6fed0ee7038743f4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32" hidden="0" customWidth="1"/>
    <x:col min="4" max="4" width="14" hidden="0" customWidth="1"/>
    <x:col min="5" max="5" width="14" hidden="0" customWidth="1"/>
    <x:col min="6" max="6" width="16" hidden="0" customWidth="1"/>
    <x:col min="7" max="7" width="58" hidden="0" customWidth="1"/>
  </x:cols>
  <x:sheetData>
    <x:row r="1" ht="32" customHeight="1">
      <x:c r="A1" s="104" t="str">
        <x:v>分类变量频数分布</x:v>
      </x:c>
      <x:c r="B1" s="131"/>
      <x:c r="C1" s="131"/>
      <x:c r="D1" s="131"/>
      <x:c r="E1" s="131"/>
      <x:c r="F1" s="131"/>
      <x:c r="G1" s="131"/>
    </x:row>
    <x:row r="2" ht="32" customHeight="1">
      <x:c r="A2" s="132" t="str">
        <x:v>每个分布的分母对应其观察单位；(null)单列，不与0或其他状态合并。</x:v>
      </x:c>
      <x:c r="B2" s="132"/>
      <x:c r="C2" s="132"/>
      <x:c r="D2" s="132"/>
      <x:c r="E2" s="132"/>
      <x:c r="F2" s="132"/>
      <x:c r="G2" s="132"/>
    </x:row>
    <x:row r="3">
      <x:c r="A3" s="133"/>
      <x:c r="B3" s="133"/>
      <x:c r="C3" s="133"/>
      <x:c r="D3" s="133"/>
      <x:c r="E3" s="133"/>
      <x:c r="F3" s="133"/>
      <x:c r="G3" s="133"/>
    </x:row>
    <x:row r="4" ht="32" customHeight="1">
      <x:c r="A4" s="150" t="str">
        <x:v>分布组</x:v>
      </x:c>
      <x:c r="B4" s="151" t="str">
        <x:v>观察单位</x:v>
      </x:c>
      <x:c r="C4" s="151" t="str">
        <x:v>类别</x:v>
      </x:c>
      <x:c r="D4" s="151" t="str">
        <x:v>频数</x:v>
      </x:c>
      <x:c r="E4" s="151" t="str">
        <x:v>分母</x:v>
      </x:c>
      <x:c r="F4" s="151" t="str">
        <x:v>占比</x:v>
      </x:c>
      <x:c r="G4" s="152" t="str">
        <x:v>说明</x:v>
      </x:c>
    </x:row>
    <x:row r="5" ht="32" customHeight="1">
      <x:c r="A5" s="153" t="str">
        <x:v>融资轮次类型</x:v>
      </x:c>
      <x:c r="B5" s="153" t="str">
        <x:v>融资轮次</x:v>
      </x:c>
      <x:c r="C5" s="153" t="str">
        <x:v>CAPITAL_INCREASE</x:v>
      </x:c>
      <x:c r="D5" s="188" t="n">
        <x:f>COUNTIF('融资轮次视图'!$H$5:$H$22,"CAPITAL_INCREASE")</x:f>
        <x:v>14</x:v>
      </x:c>
      <x:c r="E5" s="188" t="n">
        <x:f>COUNTA('融资轮次视图'!$A$5:$A$22)</x:f>
        <x:v>18</x:v>
      </x:c>
      <x:c r="F5" s="197" t="n">
        <x:f>IF(E5=0,"",D5/E5)</x:f>
        <x:v>0.7777777777777778</x:v>
      </x:c>
      <x:c r="G5" s="153" t="str">
        <x:v>分母为18轮融资。</x:v>
      </x:c>
    </x:row>
    <x:row r="6" ht="32" customHeight="1">
      <x:c r="A6" s="155" t="str">
        <x:v>融资轮次类型</x:v>
      </x:c>
      <x:c r="B6" s="155" t="str">
        <x:v>融资轮次</x:v>
      </x:c>
      <x:c r="C6" s="155" t="str">
        <x:v>COMPOUND</x:v>
      </x:c>
      <x:c r="D6" s="190" t="n">
        <x:f>COUNTIF('融资轮次视图'!$H$5:$H$22,"COMPOUND")</x:f>
        <x:v>1</x:v>
      </x:c>
      <x:c r="E6" s="190" t="n">
        <x:f>COUNTA('融资轮次视图'!$A$5:$A$22)</x:f>
        <x:v>18</x:v>
      </x:c>
      <x:c r="F6" s="198" t="n">
        <x:f>IF(E6=0,"",D6/E6)</x:f>
        <x:v>0.05555555555555555</x:v>
      </x:c>
      <x:c r="G6" s="155" t="str">
        <x:v>分母为18轮融资。</x:v>
      </x:c>
    </x:row>
    <x:row r="7" ht="32" customHeight="1">
      <x:c r="A7" s="155" t="str">
        <x:v>融资轮次类型</x:v>
      </x:c>
      <x:c r="B7" s="155" t="str">
        <x:v>融资轮次</x:v>
      </x:c>
      <x:c r="C7" s="155" t="str">
        <x:v>DIRECTIONAL_ISSUANCE</x:v>
      </x:c>
      <x:c r="D7" s="190" t="n">
        <x:f>COUNTIF('融资轮次视图'!$H$5:$H$22,"DIRECTIONAL_ISSUANCE")</x:f>
        <x:v>3</x:v>
      </x:c>
      <x:c r="E7" s="190" t="n">
        <x:f>COUNTA('融资轮次视图'!$A$5:$A$22)</x:f>
        <x:v>18</x:v>
      </x:c>
      <x:c r="F7" s="198" t="n">
        <x:f>IF(E7=0,"",D7/E7)</x:f>
        <x:v>0.16666666666666666</x:v>
      </x:c>
      <x:c r="G7" s="155" t="str">
        <x:v>分母为18轮融资。</x:v>
      </x:c>
    </x:row>
    <x:row r="8" ht="32" customHeight="1">
      <x:c r="A8" s="155" t="str">
        <x:v>融资轮次金额状态</x:v>
      </x:c>
      <x:c r="B8" s="155" t="str">
        <x:v>融资轮次</x:v>
      </x:c>
      <x:c r="C8" s="155" t="str">
        <x:v>DISCLOSED_COMPLETE</x:v>
      </x:c>
      <x:c r="D8" s="190" t="n">
        <x:f>COUNTIF('融资轮次视图'!$J$5:$J$22,"DISCLOSED_COMPLETE")</x:f>
        <x:v>14</x:v>
      </x:c>
      <x:c r="E8" s="190" t="n">
        <x:f>COUNTA('融资轮次视图'!$A$5:$A$22)</x:f>
        <x:v>18</x:v>
      </x:c>
      <x:c r="F8" s="198" t="n">
        <x:f>IF(E8=0,"",D8/E8)</x:f>
        <x:v>0.7777777777777778</x:v>
      </x:c>
      <x:c r="G8" s="155" t="str">
        <x:v>NOT_DISCLOSED不按0处理。</x:v>
      </x:c>
    </x:row>
    <x:row r="9" ht="32" customHeight="1">
      <x:c r="A9" s="155" t="str">
        <x:v>融资轮次金额状态</x:v>
      </x:c>
      <x:c r="B9" s="155" t="str">
        <x:v>融资轮次</x:v>
      </x:c>
      <x:c r="C9" s="155" t="str">
        <x:v>NOT_DISCLOSED</x:v>
      </x:c>
      <x:c r="D9" s="190" t="n">
        <x:f>COUNTIF('融资轮次视图'!$J$5:$J$22,"NOT_DISCLOSED")</x:f>
        <x:v>4</x:v>
      </x:c>
      <x:c r="E9" s="190" t="n">
        <x:f>COUNTA('融资轮次视图'!$A$5:$A$22)</x:f>
        <x:v>18</x:v>
      </x:c>
      <x:c r="F9" s="198" t="n">
        <x:f>IF(E9=0,"",D9/E9)</x:f>
        <x:v>0.2222222222222222</x:v>
      </x:c>
      <x:c r="G9" s="155" t="str">
        <x:v>NOT_DISCLOSED不按0处理。</x:v>
      </x:c>
    </x:row>
    <x:row r="10" ht="32" customHeight="1">
      <x:c r="A10" s="155" t="str">
        <x:v>融资轮次金额来源类型</x:v>
      </x:c>
      <x:c r="B10" s="155" t="str">
        <x:v>融资轮次</x:v>
      </x:c>
      <x:c r="C10" s="155" t="str">
        <x:v>CALCULATED</x:v>
      </x:c>
      <x:c r="D10" s="190" t="n">
        <x:f>COUNTIF('融资轮次视图'!$K$5:$K$22,"CALCULATED")</x:f>
        <x:v>6</x:v>
      </x:c>
      <x:c r="E10" s="190" t="n">
        <x:f>COUNTA('融资轮次视图'!$A$5:$A$22)</x:f>
        <x:v>18</x:v>
      </x:c>
      <x:c r="F10" s="198" t="n">
        <x:f>IF(E10=0,"",D10/E10)</x:f>
        <x:v>0.3333333333333333</x:v>
      </x:c>
      <x:c r="G10" s="155" t="str">
        <x:v>(null)与金额未披露对应，不参与金额统计。</x:v>
      </x:c>
    </x:row>
    <x:row r="11" ht="32" customHeight="1">
      <x:c r="A11" s="155" t="str">
        <x:v>融资轮次金额来源类型</x:v>
      </x:c>
      <x:c r="B11" s="155" t="str">
        <x:v>融资轮次</x:v>
      </x:c>
      <x:c r="C11" s="155" t="str">
        <x:v>DISCLOSED</x:v>
      </x:c>
      <x:c r="D11" s="190" t="n">
        <x:f>COUNTIF('融资轮次视图'!$K$5:$K$22,"DISCLOSED")</x:f>
        <x:v>8</x:v>
      </x:c>
      <x:c r="E11" s="190" t="n">
        <x:f>COUNTA('融资轮次视图'!$A$5:$A$22)</x:f>
        <x:v>18</x:v>
      </x:c>
      <x:c r="F11" s="198" t="n">
        <x:f>IF(E11=0,"",D11/E11)</x:f>
        <x:v>0.4444444444444444</x:v>
      </x:c>
      <x:c r="G11" s="155" t="str">
        <x:v>(null)与金额未披露对应，不参与金额统计。</x:v>
      </x:c>
    </x:row>
    <x:row r="12" ht="32" customHeight="1">
      <x:c r="A12" s="155" t="str">
        <x:v>融资轮次金额来源类型</x:v>
      </x:c>
      <x:c r="B12" s="155" t="str">
        <x:v>融资轮次</x:v>
      </x:c>
      <x:c r="C12" s="155" t="str">
        <x:v>(null)</x:v>
      </x:c>
      <x:c r="D12" s="190" t="n">
        <x:f>COUNTBLANK('融资轮次视图'!$K$5:$K$22)</x:f>
        <x:v>4</x:v>
      </x:c>
      <x:c r="E12" s="190" t="n">
        <x:f>COUNTA('融资轮次视图'!$A$5:$A$22)</x:f>
        <x:v>18</x:v>
      </x:c>
      <x:c r="F12" s="198" t="n">
        <x:f>IF(E12=0,"",D12/E12)</x:f>
        <x:v>0.2222222222222222</x:v>
      </x:c>
      <x:c r="G12" s="155" t="str">
        <x:v>(null)与金额未披露对应，不参与金额统计。</x:v>
      </x:c>
    </x:row>
    <x:row r="13" ht="32" customHeight="1">
      <x:c r="A13" s="155" t="str">
        <x:v>融资年份</x:v>
      </x:c>
      <x:c r="B13" s="155" t="str">
        <x:v>融资轮次</x:v>
      </x:c>
      <x:c r="C13" s="155" t="str">
        <x:v>2009</x:v>
      </x:c>
      <x:c r="D13" s="190" t="n">
        <x:f>COUNTIF('融资轮次视图'!$F$5:$F$22,2009)</x:f>
        <x:v>1</x:v>
      </x:c>
      <x:c r="E13" s="190" t="n">
        <x:f>COUNTA('融资轮次视图'!$A$5:$A$22)</x:f>
        <x:v>18</x:v>
      </x:c>
      <x:c r="F13" s="198" t="n">
        <x:f>IF(E13=0,"",D13/E13)</x:f>
        <x:v>0.05555555555555555</x:v>
      </x:c>
      <x:c r="G13" s="155" t="str">
        <x:v>仅按标准化日期年份分组；不比较不同日期精度的先后细节。</x:v>
      </x:c>
    </x:row>
    <x:row r="14" ht="32" customHeight="1">
      <x:c r="A14" s="155" t="str">
        <x:v>融资年份</x:v>
      </x:c>
      <x:c r="B14" s="155" t="str">
        <x:v>融资轮次</x:v>
      </x:c>
      <x:c r="C14" s="155" t="str">
        <x:v>2014</x:v>
      </x:c>
      <x:c r="D14" s="190" t="n">
        <x:f>COUNTIF('融资轮次视图'!$F$5:$F$22,2014)</x:f>
        <x:v>1</x:v>
      </x:c>
      <x:c r="E14" s="190" t="n">
        <x:f>COUNTA('融资轮次视图'!$A$5:$A$22)</x:f>
        <x:v>18</x:v>
      </x:c>
      <x:c r="F14" s="198" t="n">
        <x:f>IF(E14=0,"",D14/E14)</x:f>
        <x:v>0.05555555555555555</x:v>
      </x:c>
      <x:c r="G14" s="155" t="str">
        <x:v>仅按标准化日期年份分组；不比较不同日期精度的先后细节。</x:v>
      </x:c>
    </x:row>
    <x:row r="15" ht="32" customHeight="1">
      <x:c r="A15" s="155" t="str">
        <x:v>融资年份</x:v>
      </x:c>
      <x:c r="B15" s="155" t="str">
        <x:v>融资轮次</x:v>
      </x:c>
      <x:c r="C15" s="155" t="str">
        <x:v>2015</x:v>
      </x:c>
      <x:c r="D15" s="190" t="n">
        <x:f>COUNTIF('融资轮次视图'!$F$5:$F$22,2015)</x:f>
        <x:v>2</x:v>
      </x:c>
      <x:c r="E15" s="190" t="n">
        <x:f>COUNTA('融资轮次视图'!$A$5:$A$22)</x:f>
        <x:v>18</x:v>
      </x:c>
      <x:c r="F15" s="198" t="n">
        <x:f>IF(E15=0,"",D15/E15)</x:f>
        <x:v>0.1111111111111111</x:v>
      </x:c>
      <x:c r="G15" s="155" t="str">
        <x:v>仅按标准化日期年份分组；不比较不同日期精度的先后细节。</x:v>
      </x:c>
    </x:row>
    <x:row r="16" ht="32" customHeight="1">
      <x:c r="A16" s="155" t="str">
        <x:v>融资年份</x:v>
      </x:c>
      <x:c r="B16" s="155" t="str">
        <x:v>融资轮次</x:v>
      </x:c>
      <x:c r="C16" s="155" t="str">
        <x:v>2019</x:v>
      </x:c>
      <x:c r="D16" s="190" t="n">
        <x:f>COUNTIF('融资轮次视图'!$F$5:$F$22,2019)</x:f>
        <x:v>1</x:v>
      </x:c>
      <x:c r="E16" s="190" t="n">
        <x:f>COUNTA('融资轮次视图'!$A$5:$A$22)</x:f>
        <x:v>18</x:v>
      </x:c>
      <x:c r="F16" s="198" t="n">
        <x:f>IF(E16=0,"",D16/E16)</x:f>
        <x:v>0.05555555555555555</x:v>
      </x:c>
      <x:c r="G16" s="155" t="str">
        <x:v>仅按标准化日期年份分组；不比较不同日期精度的先后细节。</x:v>
      </x:c>
    </x:row>
    <x:row r="17" ht="32" customHeight="1">
      <x:c r="A17" s="155" t="str">
        <x:v>融资年份</x:v>
      </x:c>
      <x:c r="B17" s="155" t="str">
        <x:v>融资轮次</x:v>
      </x:c>
      <x:c r="C17" s="155" t="str">
        <x:v>2020</x:v>
      </x:c>
      <x:c r="D17" s="190" t="n">
        <x:f>COUNTIF('融资轮次视图'!$F$5:$F$22,2020)</x:f>
        <x:v>3</x:v>
      </x:c>
      <x:c r="E17" s="190" t="n">
        <x:f>COUNTA('融资轮次视图'!$A$5:$A$22)</x:f>
        <x:v>18</x:v>
      </x:c>
      <x:c r="F17" s="198" t="n">
        <x:f>IF(E17=0,"",D17/E17)</x:f>
        <x:v>0.16666666666666666</x:v>
      </x:c>
      <x:c r="G17" s="155" t="str">
        <x:v>仅按标准化日期年份分组；不比较不同日期精度的先后细节。</x:v>
      </x:c>
    </x:row>
    <x:row r="18" ht="32" customHeight="1">
      <x:c r="A18" s="155" t="str">
        <x:v>融资年份</x:v>
      </x:c>
      <x:c r="B18" s="155" t="str">
        <x:v>融资轮次</x:v>
      </x:c>
      <x:c r="C18" s="155" t="str">
        <x:v>2021</x:v>
      </x:c>
      <x:c r="D18" s="190" t="n">
        <x:f>COUNTIF('融资轮次视图'!$F$5:$F$22,2021)</x:f>
        <x:v>4</x:v>
      </x:c>
      <x:c r="E18" s="190" t="n">
        <x:f>COUNTA('融资轮次视图'!$A$5:$A$22)</x:f>
        <x:v>18</x:v>
      </x:c>
      <x:c r="F18" s="198" t="n">
        <x:f>IF(E18=0,"",D18/E18)</x:f>
        <x:v>0.2222222222222222</x:v>
      </x:c>
      <x:c r="G18" s="155" t="str">
        <x:v>仅按标准化日期年份分组；不比较不同日期精度的先后细节。</x:v>
      </x:c>
    </x:row>
    <x:row r="19" ht="32" customHeight="1">
      <x:c r="A19" s="155" t="str">
        <x:v>融资年份</x:v>
      </x:c>
      <x:c r="B19" s="155" t="str">
        <x:v>融资轮次</x:v>
      </x:c>
      <x:c r="C19" s="155" t="str">
        <x:v>2022</x:v>
      </x:c>
      <x:c r="D19" s="190" t="n">
        <x:f>COUNTIF('融资轮次视图'!$F$5:$F$22,2022)</x:f>
        <x:v>3</x:v>
      </x:c>
      <x:c r="E19" s="190" t="n">
        <x:f>COUNTA('融资轮次视图'!$A$5:$A$22)</x:f>
        <x:v>18</x:v>
      </x:c>
      <x:c r="F19" s="198" t="n">
        <x:f>IF(E19=0,"",D19/E19)</x:f>
        <x:v>0.16666666666666666</x:v>
      </x:c>
      <x:c r="G19" s="155" t="str">
        <x:v>仅按标准化日期年份分组；不比较不同日期精度的先后细节。</x:v>
      </x:c>
    </x:row>
    <x:row r="20" ht="32" customHeight="1">
      <x:c r="A20" s="155" t="str">
        <x:v>融资年份</x:v>
      </x:c>
      <x:c r="B20" s="155" t="str">
        <x:v>融资轮次</x:v>
      </x:c>
      <x:c r="C20" s="155" t="str">
        <x:v>2023</x:v>
      </x:c>
      <x:c r="D20" s="190" t="n">
        <x:f>COUNTIF('融资轮次视图'!$F$5:$F$22,2023)</x:f>
        <x:v>2</x:v>
      </x:c>
      <x:c r="E20" s="190" t="n">
        <x:f>COUNTA('融资轮次视图'!$A$5:$A$22)</x:f>
        <x:v>18</x:v>
      </x:c>
      <x:c r="F20" s="198" t="n">
        <x:f>IF(E20=0,"",D20/E20)</x:f>
        <x:v>0.1111111111111111</x:v>
      </x:c>
      <x:c r="G20" s="155" t="str">
        <x:v>仅按标准化日期年份分组；不比较不同日期精度的先后细节。</x:v>
      </x:c>
    </x:row>
    <x:row r="21" ht="32" customHeight="1">
      <x:c r="A21" s="155" t="str">
        <x:v>公司融资金额状态</x:v>
      </x:c>
      <x:c r="B21" s="155" t="str">
        <x:v>公司</x:v>
      </x:c>
      <x:c r="C21" s="155" t="str">
        <x:v>DISCLOSED_COMPLETE</x:v>
      </x:c>
      <x:c r="D21" s="190" t="n">
        <x:f>COUNTIF('公司层视图'!$E$5:$E$12,"DISCLOSED_COMPLETE")</x:f>
        <x:v>6</x:v>
      </x:c>
      <x:c r="E21" s="190" t="n">
        <x:f>COUNTA('公司层视图'!$A$5:$A$12)</x:f>
        <x:v>8</x:v>
      </x:c>
      <x:c r="F21" s="198" t="n">
        <x:f>IF(E21=0,"",D21/E21)</x:f>
        <x:v>0.75</x:v>
      </x:c>
      <x:c r="G21" s="155" t="str">
        <x:v>状态必须与公司金额下限共同解释。</x:v>
      </x:c>
    </x:row>
    <x:row r="22" ht="32" customHeight="1">
      <x:c r="A22" s="155" t="str">
        <x:v>公司融资金额状态</x:v>
      </x:c>
      <x:c r="B22" s="155" t="str">
        <x:v>公司</x:v>
      </x:c>
      <x:c r="C22" s="155" t="str">
        <x:v>HISTORICAL_NOT_RECONSTRUCTIBLE</x:v>
      </x:c>
      <x:c r="D22" s="190" t="n">
        <x:f>COUNTIF('公司层视图'!$E$5:$E$12,"HISTORICAL_NOT_RECONSTRUCTIBLE")</x:f>
        <x:v>1</x:v>
      </x:c>
      <x:c r="E22" s="190" t="n">
        <x:f>COUNTA('公司层视图'!$A$5:$A$12)</x:f>
        <x:v>8</x:v>
      </x:c>
      <x:c r="F22" s="198" t="n">
        <x:f>IF(E22=0,"",D22/E22)</x:f>
        <x:v>0.125</x:v>
      </x:c>
      <x:c r="G22" s="155" t="str">
        <x:v>状态必须与公司金额下限共同解释。</x:v>
      </x:c>
    </x:row>
    <x:row r="23" ht="32" customHeight="1">
      <x:c r="A23" s="155" t="str">
        <x:v>公司融资金额状态</x:v>
      </x:c>
      <x:c r="B23" s="155" t="str">
        <x:v>公司</x:v>
      </x:c>
      <x:c r="C23" s="155" t="str">
        <x:v>KNOWN_LOWER_BOUND</x:v>
      </x:c>
      <x:c r="D23" s="190" t="n">
        <x:f>COUNTIF('公司层视图'!$E$5:$E$12,"KNOWN_LOWER_BOUND")</x:f>
        <x:v>1</x:v>
      </x:c>
      <x:c r="E23" s="190" t="n">
        <x:f>COUNTA('公司层视图'!$A$5:$A$12)</x:f>
        <x:v>8</x:v>
      </x:c>
      <x:c r="F23" s="198" t="n">
        <x:f>IF(E23=0,"",D23/E23)</x:f>
        <x:v>0.125</x:v>
      </x:c>
      <x:c r="G23" s="155" t="str">
        <x:v>状态必须与公司金额下限共同解释。</x:v>
      </x:c>
    </x:row>
    <x:row r="24" ht="32" customHeight="1">
      <x:c r="A24" s="155" t="str">
        <x:v>公司转让金额状态</x:v>
      </x:c>
      <x:c r="B24" s="155" t="str">
        <x:v>公司</x:v>
      </x:c>
      <x:c r="C24" s="155" t="str">
        <x:v>DISCLOSED_COMPLETE</x:v>
      </x:c>
      <x:c r="D24" s="190" t="n">
        <x:f>COUNTIF('公司层视图'!$G$5:$G$12,"DISCLOSED_COMPLETE")</x:f>
        <x:v>2</x:v>
      </x:c>
      <x:c r="E24" s="190" t="n">
        <x:f>COUNTA('公司层视图'!$A$5:$A$12)</x:f>
        <x:v>8</x:v>
      </x:c>
      <x:c r="F24" s="198" t="n">
        <x:f>IF(E24=0,"",D24/E24)</x:f>
        <x:v>0.25</x:v>
      </x:c>
      <x:c r="G24" s="155" t="str">
        <x:v>NOT_APPLICABLE不等于DISCLOSED_ZERO。</x:v>
      </x:c>
    </x:row>
    <x:row r="25" ht="32" customHeight="1">
      <x:c r="A25" s="155" t="str">
        <x:v>公司转让金额状态</x:v>
      </x:c>
      <x:c r="B25" s="155" t="str">
        <x:v>公司</x:v>
      </x:c>
      <x:c r="C25" s="155" t="str">
        <x:v>KNOWN_LOWER_BOUND</x:v>
      </x:c>
      <x:c r="D25" s="190" t="n">
        <x:f>COUNTIF('公司层视图'!$G$5:$G$12,"KNOWN_LOWER_BOUND")</x:f>
        <x:v>2</x:v>
      </x:c>
      <x:c r="E25" s="190" t="n">
        <x:f>COUNTA('公司层视图'!$A$5:$A$12)</x:f>
        <x:v>8</x:v>
      </x:c>
      <x:c r="F25" s="198" t="n">
        <x:f>IF(E25=0,"",D25/E25)</x:f>
        <x:v>0.25</x:v>
      </x:c>
      <x:c r="G25" s="155" t="str">
        <x:v>NOT_APPLICABLE不等于DISCLOSED_ZERO。</x:v>
      </x:c>
    </x:row>
    <x:row r="26" ht="32" customHeight="1">
      <x:c r="A26" s="155" t="str">
        <x:v>公司转让金额状态</x:v>
      </x:c>
      <x:c r="B26" s="155" t="str">
        <x:v>公司</x:v>
      </x:c>
      <x:c r="C26" s="155" t="str">
        <x:v>NOT_APPLICABLE</x:v>
      </x:c>
      <x:c r="D26" s="190" t="n">
        <x:f>COUNTIF('公司层视图'!$G$5:$G$12,"NOT_APPLICABLE")</x:f>
        <x:v>4</x:v>
      </x:c>
      <x:c r="E26" s="190" t="n">
        <x:f>COUNTA('公司层视图'!$A$5:$A$12)</x:f>
        <x:v>8</x:v>
      </x:c>
      <x:c r="F26" s="198" t="n">
        <x:f>IF(E26=0,"",D26/E26)</x:f>
        <x:v>0.5</x:v>
      </x:c>
      <x:c r="G26" s="155" t="str">
        <x:v>NOT_APPLICABLE不等于DISCLOSED_ZERO。</x:v>
      </x:c>
    </x:row>
    <x:row r="27" ht="32" customHeight="1">
      <x:c r="A27" s="155" t="str">
        <x:v>PE/VC身份状态</x:v>
      </x:c>
      <x:c r="B27" s="155" t="str">
        <x:v>标准主体</x:v>
      </x:c>
      <x:c r="C27" s="155" t="str">
        <x:v>PEVC_CANDIDATE</x:v>
      </x:c>
      <x:c r="D27" s="190" t="n">
        <x:f>COUNTIF('主体状态视图'!$B$5:$B$73,"PEVC_CANDIDATE")</x:f>
        <x:v>6</x:v>
      </x:c>
      <x:c r="E27" s="190" t="n">
        <x:f>COUNTA('主体状态视图'!$A$5:$A$73)</x:f>
        <x:v>69</x:v>
      </x:c>
      <x:c r="F27" s="198" t="n">
        <x:f>IF(E27=0,"",D27/E27)</x:f>
        <x:v>0.08695652173913043</x:v>
      </x:c>
      <x:c r="G27" s="155" t="str">
        <x:v>分母为69个标准主体；仅PEVC_CONFIRMED计入确认主体。</x:v>
      </x:c>
    </x:row>
    <x:row r="28" ht="32" customHeight="1">
      <x:c r="A28" s="155" t="str">
        <x:v>PE/VC身份状态</x:v>
      </x:c>
      <x:c r="B28" s="155" t="str">
        <x:v>标准主体</x:v>
      </x:c>
      <x:c r="C28" s="155" t="str">
        <x:v>PEVC_CONFIRMED</x:v>
      </x:c>
      <x:c r="D28" s="190" t="n">
        <x:f>COUNTIF('主体状态视图'!$B$5:$B$73,"PEVC_CONFIRMED")</x:f>
        <x:v>16</x:v>
      </x:c>
      <x:c r="E28" s="190" t="n">
        <x:f>COUNTA('主体状态视图'!$A$5:$A$73)</x:f>
        <x:v>69</x:v>
      </x:c>
      <x:c r="F28" s="198" t="n">
        <x:f>IF(E28=0,"",D28/E28)</x:f>
        <x:v>0.2318840579710145</x:v>
      </x:c>
      <x:c r="G28" s="155" t="str">
        <x:v>分母为69个标准主体；仅PEVC_CONFIRMED计入确认主体。</x:v>
      </x:c>
    </x:row>
    <x:row r="29" ht="32" customHeight="1">
      <x:c r="A29" s="155" t="str">
        <x:v>PE/VC身份状态</x:v>
      </x:c>
      <x:c r="B29" s="155" t="str">
        <x:v>标准主体</x:v>
      </x:c>
      <x:c r="C29" s="155" t="str">
        <x:v>PEVC_EXCLUDED</x:v>
      </x:c>
      <x:c r="D29" s="190" t="n">
        <x:f>COUNTIF('主体状态视图'!$B$5:$B$73,"PEVC_EXCLUDED")</x:f>
        <x:v>24</x:v>
      </x:c>
      <x:c r="E29" s="190" t="n">
        <x:f>COUNTA('主体状态视图'!$A$5:$A$73)</x:f>
        <x:v>69</x:v>
      </x:c>
      <x:c r="F29" s="198" t="n">
        <x:f>IF(E29=0,"",D29/E29)</x:f>
        <x:v>0.34782608695652173</x:v>
      </x:c>
      <x:c r="G29" s="155" t="str">
        <x:v>分母为69个标准主体；仅PEVC_CONFIRMED计入确认主体。</x:v>
      </x:c>
    </x:row>
    <x:row r="30" ht="32" customHeight="1">
      <x:c r="A30" s="155" t="str">
        <x:v>PE/VC身份状态</x:v>
      </x:c>
      <x:c r="B30" s="155" t="str">
        <x:v>标准主体</x:v>
      </x:c>
      <x:c r="C30" s="155" t="str">
        <x:v>PEVC_RELATED</x:v>
      </x:c>
      <x:c r="D30" s="190" t="n">
        <x:f>COUNTIF('主体状态视图'!$B$5:$B$73,"PEVC_RELATED")</x:f>
        <x:v>8</x:v>
      </x:c>
      <x:c r="E30" s="190" t="n">
        <x:f>COUNTA('主体状态视图'!$A$5:$A$73)</x:f>
        <x:v>69</x:v>
      </x:c>
      <x:c r="F30" s="198" t="n">
        <x:f>IF(E30=0,"",D30/E30)</x:f>
        <x:v>0.11594202898550725</x:v>
      </x:c>
      <x:c r="G30" s="155" t="str">
        <x:v>分母为69个标准主体；仅PEVC_CONFIRMED计入确认主体。</x:v>
      </x:c>
    </x:row>
    <x:row r="31" ht="32" customHeight="1">
      <x:c r="A31" s="155" t="str">
        <x:v>PE/VC身份状态</x:v>
      </x:c>
      <x:c r="B31" s="155" t="str">
        <x:v>标准主体</x:v>
      </x:c>
      <x:c r="C31" s="155" t="str">
        <x:v>PEVC_UNRESOLVED</x:v>
      </x:c>
      <x:c r="D31" s="190" t="n">
        <x:f>COUNTIF('主体状态视图'!$B$5:$B$73,"PEVC_UNRESOLVED")</x:f>
        <x:v>2</x:v>
      </x:c>
      <x:c r="E31" s="190" t="n">
        <x:f>COUNTA('主体状态视图'!$A$5:$A$73)</x:f>
        <x:v>69</x:v>
      </x:c>
      <x:c r="F31" s="198" t="n">
        <x:f>IF(E31=0,"",D31/E31)</x:f>
        <x:v>0.028985507246376812</x:v>
      </x:c>
      <x:c r="G31" s="155" t="str">
        <x:v>分母为69个标准主体；仅PEVC_CONFIRMED计入确认主体。</x:v>
      </x:c>
    </x:row>
    <x:row r="32" ht="32" customHeight="1">
      <x:c r="A32" s="155" t="str">
        <x:v>PE/VC身份状态</x:v>
      </x:c>
      <x:c r="B32" s="155" t="str">
        <x:v>标准主体</x:v>
      </x:c>
      <x:c r="C32" s="155" t="str">
        <x:v>(null)</x:v>
      </x:c>
      <x:c r="D32" s="190" t="n">
        <x:f>COUNTBLANK('主体状态视图'!$B$5:$B$73)</x:f>
        <x:v>13</x:v>
      </x:c>
      <x:c r="E32" s="190" t="n">
        <x:f>COUNTA('主体状态视图'!$A$5:$A$73)</x:f>
        <x:v>69</x:v>
      </x:c>
      <x:c r="F32" s="198" t="n">
        <x:f>IF(E32=0,"",D32/E32)</x:f>
        <x:v>0.18840579710144928</x:v>
      </x:c>
      <x:c r="G32" s="155" t="str">
        <x:v>分母为69个标准主体；仅PEVC_CONFIRMED计入确认主体。</x:v>
      </x:c>
    </x:row>
    <x:row r="33" ht="32" customHeight="1">
      <x:c r="A33" s="155" t="str">
        <x:v>投资路径直接/间接</x:v>
      </x:c>
      <x:c r="B33" s="155" t="str">
        <x:v>投资路径边</x:v>
      </x:c>
      <x:c r="C33" s="155" t="str">
        <x:v>DIRECT</x:v>
      </x:c>
      <x:c r="D33" s="190" t="n">
        <x:f>COUNTIF('路径状态视图'!$B$5:$B$71,"DIRECT")</x:f>
        <x:v>58</x:v>
      </x:c>
      <x:c r="E33" s="190" t="n">
        <x:f>COUNTA('路径状态视图'!$A$5:$A$71)</x:f>
        <x:v>67</x:v>
      </x:c>
      <x:c r="F33" s="198" t="n">
        <x:f>IF(E33=0,"",D33/E33)</x:f>
        <x:v>0.8656716417910447</x:v>
      </x:c>
      <x:c r="G33" s="155" t="str">
        <x:v>分母为67条路径边；边数不等于投资者数或投资体系数。</x:v>
      </x:c>
    </x:row>
    <x:row r="34" ht="32" customHeight="1">
      <x:c r="A34" s="155" t="str">
        <x:v>投资路径直接/间接</x:v>
      </x:c>
      <x:c r="B34" s="155" t="str">
        <x:v>投资路径边</x:v>
      </x:c>
      <x:c r="C34" s="155" t="str">
        <x:v>INDIRECT</x:v>
      </x:c>
      <x:c r="D34" s="190" t="n">
        <x:f>COUNTIF('路径状态视图'!$B$5:$B$71,"INDIRECT")</x:f>
        <x:v>9</x:v>
      </x:c>
      <x:c r="E34" s="190" t="n">
        <x:f>COUNTA('路径状态视图'!$A$5:$A$71)</x:f>
        <x:v>67</x:v>
      </x:c>
      <x:c r="F34" s="198" t="n">
        <x:f>IF(E34=0,"",D34/E34)</x:f>
        <x:v>0.13432835820895522</x:v>
      </x:c>
      <x:c r="G34" s="155" t="str">
        <x:v>分母为67条路径边；边数不等于投资者数或投资体系数。</x:v>
      </x:c>
    </x:row>
    <x:row r="35" ht="32" customHeight="1">
      <x:c r="A35" s="155" t="str">
        <x:v>融资交易组成类型</x:v>
      </x:c>
      <x:c r="B35" s="155" t="str">
        <x:v>融资交易组成</x:v>
      </x:c>
      <x:c r="C35" s="155" t="str">
        <x:v>CAPITAL_INCREASE</x:v>
      </x:c>
      <x:c r="D35" s="190" t="n">
        <x:f>COUNTIF('交易组成视图'!$E$5:$E$23,"CAPITAL_INCREASE")</x:f>
        <x:v>16</x:v>
      </x:c>
      <x:c r="E35" s="190" t="n">
        <x:f>COUNTA('交易组成视图'!$A$5:$A$23)</x:f>
        <x:v>19</x:v>
      </x:c>
      <x:c r="F35" s="198" t="n">
        <x:f>IF(E35=0,"",D35/E35)</x:f>
        <x:v>0.8421052631578947</x:v>
      </x:c>
      <x:c r="G35" s="155" t="str">
        <x:v>分母为19个交易组成；交易组成数不等于融资轮数。</x:v>
      </x:c>
    </x:row>
    <x:row r="36" ht="32" customHeight="1">
      <x:c r="A36" s="155" t="str">
        <x:v>融资交易组成类型</x:v>
      </x:c>
      <x:c r="B36" s="155" t="str">
        <x:v>融资交易组成</x:v>
      </x:c>
      <x:c r="C36" s="155" t="str">
        <x:v>DIRECTIONAL_ISSUANCE</x:v>
      </x:c>
      <x:c r="D36" s="190" t="n">
        <x:f>COUNTIF('交易组成视图'!$E$5:$E$23,"DIRECTIONAL_ISSUANCE")</x:f>
        <x:v>3</x:v>
      </x:c>
      <x:c r="E36" s="190" t="n">
        <x:f>COUNTA('交易组成视图'!$A$5:$A$23)</x:f>
        <x:v>19</x:v>
      </x:c>
      <x:c r="F36" s="198" t="n">
        <x:f>IF(E36=0,"",D36/E36)</x:f>
        <x:v>0.15789473684210525</x:v>
      </x:c>
      <x:c r="G36" s="155" t="str">
        <x:v>分母为19个交易组成；交易组成数不等于融资轮数。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6" hidden="0" customWidth="1"/>
    <x:col min="7" max="7" width="16" hidden="0" customWidth="1"/>
    <x:col min="8" max="8" width="56" hidden="0" customWidth="1"/>
  </x:cols>
  <x:sheetData>
    <x:row r="1" ht="32" customHeight="1">
      <x:c r="A1" s="104" t="str">
        <x:v>Stage 2 验收检查</x:v>
      </x:c>
      <x:c r="B1" s="131"/>
      <x:c r="C1" s="131"/>
      <x:c r="D1" s="131"/>
      <x:c r="E1" s="131"/>
      <x:c r="F1" s="131"/>
      <x:c r="G1" s="131"/>
      <x:c r="H1" s="131"/>
    </x:row>
    <x:row r="2" ht="32" customHeight="1">
      <x:c r="A2" s="132" t="str">
        <x:v>核心结果、层级金额桥和全部描述统计均需通过双重计算复核。</x:v>
      </x:c>
      <x:c r="B2" s="132"/>
      <x:c r="C2" s="132"/>
      <x:c r="D2" s="132"/>
      <x:c r="E2" s="132"/>
      <x:c r="F2" s="132"/>
      <x:c r="G2" s="132"/>
      <x:c r="H2" s="132"/>
    </x:row>
    <x:row r="3">
      <x:c r="A3" s="133"/>
      <x:c r="B3" s="133"/>
      <x:c r="C3" s="133"/>
      <x:c r="D3" s="133"/>
      <x:c r="E3" s="133"/>
      <x:c r="F3" s="133"/>
      <x:c r="G3" s="133"/>
      <x:c r="H3" s="133"/>
    </x:row>
    <x:row r="4" ht="32" customHeight="1">
      <x:c r="A4" s="150" t="str">
        <x:v>检查ID</x:v>
      </x:c>
      <x:c r="B4" s="151" t="str">
        <x:v>检查项</x:v>
      </x:c>
      <x:c r="C4" s="151" t="str">
        <x:v>期望</x:v>
      </x:c>
      <x:c r="D4" s="151" t="str">
        <x:v>实际</x:v>
      </x:c>
      <x:c r="E4" s="151" t="str">
        <x:v>差异</x:v>
      </x:c>
      <x:c r="F4" s="151" t="str">
        <x:v>容差/类型</x:v>
      </x:c>
      <x:c r="G4" s="151" t="str">
        <x:v>状态</x:v>
      </x:c>
      <x:c r="H4" s="152" t="str">
        <x:v>说明</x:v>
      </x:c>
    </x:row>
    <x:row r="5" ht="34" customHeight="1">
      <x:c r="A5" s="153" t="str">
        <x:v>S2-001</x:v>
      </x:c>
      <x:c r="B5" s="153" t="str">
        <x:v>样本公司数</x:v>
      </x:c>
      <x:c r="C5" s="154" t="n">
        <x:v>8</x:v>
      </x:c>
      <x:c r="D5" s="154" t="n">
        <x:f>COUNTA('公司层视图'!$A$5:$A$12)</x:f>
        <x:v>8</x:v>
      </x:c>
      <x:c r="E5" s="154" t="n">
        <x:f>D5-C5</x:f>
        <x:v>0</x:v>
      </x:c>
      <x:c r="F5" s="153" t="str">
        <x:v>硬性</x:v>
      </x:c>
      <x:c r="G5" s="153" t="str">
        <x:f>IF(ABS(E5)&lt;=0,"PASS","FAIL")</x:f>
        <x:v>PASS</x:v>
      </x:c>
      <x:c r="H5" s="153" t="str"/>
    </x:row>
    <x:row r="6" ht="34" customHeight="1">
      <x:c r="A6" s="155" t="str">
        <x:v>S2-002</x:v>
      </x:c>
      <x:c r="B6" s="155" t="str">
        <x:v>融资轮次数</x:v>
      </x:c>
      <x:c r="C6" s="191" t="n">
        <x:v>18</x:v>
      </x:c>
      <x:c r="D6" s="191" t="n">
        <x:f>COUNTA('融资轮次视图'!$A$5:$A$22)</x:f>
        <x:v>18</x:v>
      </x:c>
      <x:c r="E6" s="191" t="n">
        <x:f>D6-C6</x:f>
        <x:v>0</x:v>
      </x:c>
      <x:c r="F6" s="155" t="str">
        <x:v>硬性</x:v>
      </x:c>
      <x:c r="G6" s="155" t="str">
        <x:f>IF(ABS(E6)&lt;=0,"PASS","FAIL")</x:f>
        <x:v>PASS</x:v>
      </x:c>
      <x:c r="H6" s="155" t="str"/>
    </x:row>
    <x:row r="7" ht="34" customHeight="1">
      <x:c r="A7" s="155" t="str">
        <x:v>S2-003</x:v>
      </x:c>
      <x:c r="B7" s="155" t="str">
        <x:v>融资交易组成数</x:v>
      </x:c>
      <x:c r="C7" s="191" t="n">
        <x:v>19</x:v>
      </x:c>
      <x:c r="D7" s="191" t="n">
        <x:f>COUNTA('交易组成视图'!$A$5:$A$23)</x:f>
        <x:v>19</x:v>
      </x:c>
      <x:c r="E7" s="191" t="n">
        <x:f>D7-C7</x:f>
        <x:v>0</x:v>
      </x:c>
      <x:c r="F7" s="155" t="str">
        <x:v>硬性</x:v>
      </x:c>
      <x:c r="G7" s="155" t="str">
        <x:f>IF(ABS(E7)&lt;=0,"PASS","FAIL")</x:f>
        <x:v>PASS</x:v>
      </x:c>
      <x:c r="H7" s="155" t="str">
        <x:v>CAPITAL_INCREASE或DIRECTIONAL_ISSUANCE</x:v>
      </x:c>
    </x:row>
    <x:row r="8" ht="34" customHeight="1">
      <x:c r="A8" s="155" t="str">
        <x:v>S2-004</x:v>
      </x:c>
      <x:c r="B8" s="155" t="str">
        <x:v>公司层融资金额下限raw</x:v>
      </x:c>
      <x:c r="C8" s="191" t="n">
        <x:v>173663.588274</x:v>
      </x:c>
      <x:c r="D8" s="191" t="n">
        <x:f>SUM('公司层视图'!$D$5:$D$12)</x:f>
        <x:v>173663.58827399998</x:v>
      </x:c>
      <x:c r="E8" s="191" t="n">
        <x:f>D8-C8</x:f>
        <x:v>-2.9103830456733704e-11</x:v>
      </x:c>
      <x:c r="F8" s="155" t="str">
        <x:v>硬性</x:v>
      </x:c>
      <x:c r="G8" s="155" t="str">
        <x:f>IF(ABS(E8)&lt;=0.000001,"PASS","FAIL")</x:f>
        <x:v>PASS</x:v>
      </x:c>
      <x:c r="H8" s="155" t="str">
        <x:v>万元</x:v>
      </x:c>
    </x:row>
    <x:row r="9" ht="34" customHeight="1">
      <x:c r="A9" s="155" t="str">
        <x:v>S2-005</x:v>
      </x:c>
      <x:c r="B9" s="155" t="str">
        <x:v>交易组成金额合计</x:v>
      </x:c>
      <x:c r="C9" s="191" t="n">
        <x:v>173663.588274</x:v>
      </x:c>
      <x:c r="D9" s="191" t="n">
        <x:f>SUM('交易组成视图'!$F$5:$F$23)</x:f>
        <x:v>173663.58827399998</x:v>
      </x:c>
      <x:c r="E9" s="191" t="n">
        <x:f>D9-C9</x:f>
        <x:v>-2.9103830456733704e-11</x:v>
      </x:c>
      <x:c r="F9" s="155" t="str">
        <x:v>硬性</x:v>
      </x:c>
      <x:c r="G9" s="155" t="str">
        <x:f>IF(ABS(E9)&lt;=0.000001,"PASS","FAIL")</x:f>
        <x:v>PASS</x:v>
      </x:c>
      <x:c r="H9" s="155" t="str">
        <x:v>应与公司层合计一致</x:v>
      </x:c>
    </x:row>
    <x:row r="10" ht="34" customHeight="1">
      <x:c r="A10" s="155" t="str">
        <x:v>S2-006</x:v>
      </x:c>
      <x:c r="B10" s="155" t="str">
        <x:v>18轮事件锚点金额合计</x:v>
      </x:c>
      <x:c r="C10" s="191" t="n">
        <x:v>173543.588274</x:v>
      </x:c>
      <x:c r="D10" s="191" t="n">
        <x:f>SUM('融资轮次视图'!$I$5:$I$22)</x:f>
        <x:v>173543.58827399998</x:v>
      </x:c>
      <x:c r="E10" s="191" t="n">
        <x:f>D10-C10</x:f>
        <x:v>-2.9103830456733704e-11</x:v>
      </x:c>
      <x:c r="F10" s="155" t="str">
        <x:v>说明性</x:v>
      </x:c>
      <x:c r="G10" s="155" t="str">
        <x:f>IF(ABS(E10)&lt;=0.000001,"PASS","FAIL")</x:f>
        <x:v>PASS</x:v>
      </x:c>
      <x:c r="H10" s="155" t="str">
        <x:v>不作为Week 8核心金额</x:v>
      </x:c>
    </x:row>
    <x:row r="11" ht="34" customHeight="1">
      <x:c r="A11" s="155" t="str">
        <x:v>S2-007</x:v>
      </x:c>
      <x:c r="B11" s="155" t="str">
        <x:v>公司层－轮次层差额</x:v>
      </x:c>
      <x:c r="C11" s="191" t="n">
        <x:v>120</x:v>
      </x:c>
      <x:c r="D11" s="191" t="n">
        <x:f>SUM('公司层视图'!$D$5:$D$12)-SUM('融资轮次视图'!$I$5:$I$22)</x:f>
        <x:v>120</x:v>
      </x:c>
      <x:c r="E11" s="191" t="n">
        <x:f>D11-C11</x:f>
        <x:v>0</x:v>
      </x:c>
      <x:c r="F11" s="155" t="str">
        <x:v>说明性</x:v>
      </x:c>
      <x:c r="G11" s="155" t="str">
        <x:f>IF(ABS(E11)&lt;=0.000001,"PASS","FAIL")</x:f>
        <x:v>PASS</x:v>
      </x:c>
      <x:c r="H11" s="155" t="str">
        <x:v>TRX-301563-INC-007=120万元</x:v>
      </x:c>
    </x:row>
    <x:row r="12" ht="34" customHeight="1">
      <x:c r="A12" s="155" t="str">
        <x:v>S2-008</x:v>
      </x:c>
      <x:c r="B12" s="155" t="str">
        <x:v>股权转让对价下限</x:v>
      </x:c>
      <x:c r="C12" s="191" t="n">
        <x:v>17480.908</x:v>
      </x:c>
      <x:c r="D12" s="191" t="n">
        <x:f>SUM('公司层视图'!$F$5:$F$12)</x:f>
        <x:v>17480.908</x:v>
      </x:c>
      <x:c r="E12" s="191" t="n">
        <x:f>D12-C12</x:f>
        <x:v>0</x:v>
      </x:c>
      <x:c r="F12" s="155" t="str">
        <x:v>硬性</x:v>
      </x:c>
      <x:c r="G12" s="155" t="str">
        <x:f>IF(ABS(E12)&lt;=0.000001,"PASS","FAIL")</x:f>
        <x:v>PASS</x:v>
      </x:c>
      <x:c r="H12" s="155" t="str">
        <x:v>万元；与融资金额分开</x:v>
      </x:c>
    </x:row>
    <x:row r="13" ht="34" customHeight="1">
      <x:c r="A13" s="155" t="str">
        <x:v>S2-009</x:v>
      </x:c>
      <x:c r="B13" s="155" t="str">
        <x:v>确认PE/VC法律主体数</x:v>
      </x:c>
      <x:c r="C13" s="191" t="n">
        <x:v>16</x:v>
      </x:c>
      <x:c r="D13" s="191" t="n">
        <x:f>COUNTIF('主体状态视图'!$B$5:$B$73,"PEVC_CONFIRMED")</x:f>
        <x:v>16</x:v>
      </x:c>
      <x:c r="E13" s="191" t="n">
        <x:f>D13-C13</x:f>
        <x:v>0</x:v>
      </x:c>
      <x:c r="F13" s="155" t="str">
        <x:v>硬性</x:v>
      </x:c>
      <x:c r="G13" s="155" t="str">
        <x:f>IF(ABS(E13)&lt;=0,"PASS","FAIL")</x:f>
        <x:v>PASS</x:v>
      </x:c>
      <x:c r="H13" s="155" t="str"/>
    </x:row>
    <x:row r="14" ht="34" customHeight="1">
      <x:c r="A14" s="155" t="str">
        <x:v>S2-010</x:v>
      </x:c>
      <x:c r="B14" s="155" t="str">
        <x:v>公司融资金额有效N</x:v>
      </x:c>
      <x:c r="C14" s="191" t="n">
        <x:v>7</x:v>
      </x:c>
      <x:c r="D14" s="191" t="n">
        <x:f>COUNT('公司层视图'!$D$5:$D$12)</x:f>
        <x:v>7</x:v>
      </x:c>
      <x:c r="E14" s="191" t="n">
        <x:f>D14-C14</x:f>
        <x:v>0</x:v>
      </x:c>
      <x:c r="F14" s="155" t="str">
        <x:v>硬性</x:v>
      </x:c>
      <x:c r="G14" s="155" t="str">
        <x:f>IF(ABS(E14)&lt;=0,"PASS","FAIL")</x:f>
        <x:v>PASS</x:v>
      </x:c>
      <x:c r="H14" s="155" t="str"/>
    </x:row>
    <x:row r="15" ht="34" customHeight="1">
      <x:c r="A15" s="155" t="str">
        <x:v>S2-011</x:v>
      </x:c>
      <x:c r="B15" s="155" t="str">
        <x:v>公司融资金额缺失N</x:v>
      </x:c>
      <x:c r="C15" s="191" t="n">
        <x:v>1</x:v>
      </x:c>
      <x:c r="D15" s="191" t="n">
        <x:f>8-COUNT('公司层视图'!$D$5:$D$12)</x:f>
        <x:v>1</x:v>
      </x:c>
      <x:c r="E15" s="191" t="n">
        <x:f>D15-C15</x:f>
        <x:v>0</x:v>
      </x:c>
      <x:c r="F15" s="155" t="str">
        <x:v>硬性</x:v>
      </x:c>
      <x:c r="G15" s="155" t="str">
        <x:f>IF(ABS(E15)&lt;=0,"PASS","FAIL")</x:f>
        <x:v>PASS</x:v>
      </x:c>
      <x:c r="H15" s="155" t="str">
        <x:v>null不转0</x:v>
      </x:c>
    </x:row>
    <x:row r="16" ht="34" customHeight="1">
      <x:c r="A16" s="155" t="str">
        <x:v>S2-012</x:v>
      </x:c>
      <x:c r="B16" s="155" t="str">
        <x:v>轮次金额有效N</x:v>
      </x:c>
      <x:c r="C16" s="191" t="n">
        <x:v>14</x:v>
      </x:c>
      <x:c r="D16" s="191" t="n">
        <x:f>COUNT('融资轮次视图'!$I$5:$I$22)</x:f>
        <x:v>14</x:v>
      </x:c>
      <x:c r="E16" s="191" t="n">
        <x:f>D16-C16</x:f>
        <x:v>0</x:v>
      </x:c>
      <x:c r="F16" s="155" t="str">
        <x:v>硬性</x:v>
      </x:c>
      <x:c r="G16" s="155" t="str">
        <x:f>IF(ABS(E16)&lt;=0,"PASS","FAIL")</x:f>
        <x:v>PASS</x:v>
      </x:c>
      <x:c r="H16" s="155" t="str"/>
    </x:row>
    <x:row r="17" ht="34" customHeight="1">
      <x:c r="A17" s="155" t="str">
        <x:v>S2-013</x:v>
      </x:c>
      <x:c r="B17" s="155" t="str">
        <x:v>轮次金额缺失N</x:v>
      </x:c>
      <x:c r="C17" s="191" t="n">
        <x:v>4</x:v>
      </x:c>
      <x:c r="D17" s="191" t="n">
        <x:f>18-COUNT('融资轮次视图'!$I$5:$I$22)</x:f>
        <x:v>4</x:v>
      </x:c>
      <x:c r="E17" s="191" t="n">
        <x:f>D17-C17</x:f>
        <x:v>0</x:v>
      </x:c>
      <x:c r="F17" s="155" t="str">
        <x:v>硬性</x:v>
      </x:c>
      <x:c r="G17" s="155" t="str">
        <x:f>IF(ABS(E17)&lt;=0,"PASS","FAIL")</x:f>
        <x:v>PASS</x:v>
      </x:c>
      <x:c r="H17" s="155" t="str"/>
    </x:row>
    <x:row r="18" ht="34" customHeight="1">
      <x:c r="A18" s="155" t="str">
        <x:v>S2-014</x:v>
      </x:c>
      <x:c r="B18" s="155" t="str">
        <x:v>明确披露为0的公司转让金额记录</x:v>
      </x:c>
      <x:c r="C18" s="191" t="n">
        <x:v>1</x:v>
      </x:c>
      <x:c r="D18" s="191" t="n">
        <x:f>COUNTIF('公司层视图'!$F$5:$F$12,0)</x:f>
        <x:v>1</x:v>
      </x:c>
      <x:c r="E18" s="191" t="n">
        <x:f>D18-C18</x:f>
        <x:v>0</x:v>
      </x:c>
      <x:c r="F18" s="155" t="str">
        <x:v>硬性</x:v>
      </x:c>
      <x:c r="G18" s="155" t="str">
        <x:f>IF(ABS(E18)&lt;=0,"PASS","FAIL")</x:f>
        <x:v>PASS</x:v>
      </x:c>
      <x:c r="H18" s="155" t="str">
        <x:v>黄山谷捷；其余null不转0</x:v>
      </x:c>
    </x:row>
    <x:row r="19" ht="34" customHeight="1">
      <x:c r="A19" s="155" t="str">
        <x:v>S2-015</x:v>
      </x:c>
      <x:c r="B19" s="155" t="str">
        <x:v>Week 8事实层写入</x:v>
      </x:c>
      <x:c r="C19" s="191" t="n">
        <x:v>0</x:v>
      </x:c>
      <x:c r="D19" s="191" t="n">
        <x:f>0</x:f>
        <x:v>0</x:v>
      </x:c>
      <x:c r="E19" s="191" t="n">
        <x:f>D19-C19</x:f>
        <x:v>0</x:v>
      </x:c>
      <x:c r="F19" s="155" t="str">
        <x:v>硬性</x:v>
      </x:c>
      <x:c r="G19" s="155" t="str">
        <x:f>IF(ABS(E19)&lt;=0,"PASS","FAIL")</x:f>
        <x:v>PASS</x:v>
      </x:c>
      <x:c r="H19" s="155" t="str">
        <x:v>False</x:v>
      </x:c>
    </x:row>
    <x:row r="20">
      <x:c r="A20" s="133"/>
      <x:c r="B20" s="133"/>
      <x:c r="C20" s="133"/>
      <x:c r="D20" s="133"/>
      <x:c r="E20" s="133"/>
      <x:c r="F20" s="133"/>
      <x:c r="G20" s="133"/>
      <x:c r="H20" s="133"/>
    </x:row>
    <x:row r="21" ht="24" customHeight="1">
      <x:c r="A21" s="131" t="str">
        <x:v>Python独立计算 ↔ Excel公式结果复核</x:v>
      </x:c>
      <x:c r="B21" s="131"/>
      <x:c r="C21" s="131"/>
      <x:c r="D21" s="131"/>
      <x:c r="E21" s="131"/>
      <x:c r="F21" s="131"/>
      <x:c r="G21" s="131"/>
      <x:c r="H21" s="131"/>
    </x:row>
    <x:row r="22" ht="32" customHeight="1">
      <x:c r="A22" s="150" t="str">
        <x:v>指标</x:v>
      </x:c>
      <x:c r="B22" s="151" t="str">
        <x:v>统计量</x:v>
      </x:c>
      <x:c r="C22" s="151" t="str">
        <x:v>Python期望</x:v>
      </x:c>
      <x:c r="D22" s="151" t="str">
        <x:v>Excel实际</x:v>
      </x:c>
      <x:c r="E22" s="151" t="str">
        <x:v>差异</x:v>
      </x:c>
      <x:c r="F22" s="151" t="str">
        <x:v>容差</x:v>
      </x:c>
      <x:c r="G22" s="151" t="str">
        <x:v>状态</x:v>
      </x:c>
      <x:c r="H22" s="152" t="str">
        <x:v>说明</x:v>
      </x:c>
    </x:row>
    <x:row r="23" ht="26" customHeight="1">
      <x:c r="A23" s="153" t="str">
        <x:v>上市前直接股权融资轮次</x:v>
      </x:c>
      <x:c r="B23" s="153" t="str">
        <x:v>总N</x:v>
      </x:c>
      <x:c r="C23" s="154" t="n">
        <x:v>8</x:v>
      </x:c>
      <x:c r="D23" s="154" t="n">
        <x:f>'描述统计'!$C$5</x:f>
        <x:v>8</x:v>
      </x:c>
      <x:c r="E23" s="154" t="n">
        <x:f>D23-C23</x:f>
        <x:v>0</x:v>
      </x:c>
      <x:c r="F23" s="154" t="n">
        <x:v>0</x:v>
      </x:c>
      <x:c r="G23" s="153" t="str">
        <x:f>IF(ABS(E23)&lt;=F23,"PASS","FAIL")</x:f>
        <x:v>PASS</x:v>
      </x:c>
      <x:c r="H23" s="153" t="str">
        <x:v>双重计算</x:v>
      </x:c>
    </x:row>
    <x:row r="24" ht="26" customHeight="1">
      <x:c r="A24" s="155" t="str">
        <x:v>上市前直接股权融资轮次</x:v>
      </x:c>
      <x:c r="B24" s="155" t="str">
        <x:v>有效N</x:v>
      </x:c>
      <x:c r="C24" s="191" t="n">
        <x:v>8</x:v>
      </x:c>
      <x:c r="D24" s="191" t="n">
        <x:f>'描述统计'!$D$5</x:f>
        <x:v>8</x:v>
      </x:c>
      <x:c r="E24" s="191" t="n">
        <x:f>D24-C24</x:f>
        <x:v>0</x:v>
      </x:c>
      <x:c r="F24" s="191" t="n">
        <x:v>0</x:v>
      </x:c>
      <x:c r="G24" s="155" t="str">
        <x:f>IF(ABS(E24)&lt;=F24,"PASS","FAIL")</x:f>
        <x:v>PASS</x:v>
      </x:c>
      <x:c r="H24" s="155" t="str">
        <x:v>双重计算</x:v>
      </x:c>
    </x:row>
    <x:row r="25" ht="26" customHeight="1">
      <x:c r="A25" s="155" t="str">
        <x:v>上市前直接股权融资轮次</x:v>
      </x:c>
      <x:c r="B25" s="155" t="str">
        <x:v>缺失N</x:v>
      </x:c>
      <x:c r="C25" s="191" t="n">
        <x:v>0</x:v>
      </x:c>
      <x:c r="D25" s="191" t="n">
        <x:f>'描述统计'!$E$5</x:f>
        <x:v>0</x:v>
      </x:c>
      <x:c r="E25" s="191" t="n">
        <x:f>D25-C25</x:f>
        <x:v>0</x:v>
      </x:c>
      <x:c r="F25" s="191" t="n">
        <x:v>0</x:v>
      </x:c>
      <x:c r="G25" s="155" t="str">
        <x:f>IF(ABS(E25)&lt;=F25,"PASS","FAIL")</x:f>
        <x:v>PASS</x:v>
      </x:c>
      <x:c r="H25" s="155" t="str">
        <x:v>双重计算</x:v>
      </x:c>
    </x:row>
    <x:row r="26" ht="26" customHeight="1">
      <x:c r="A26" s="155" t="str">
        <x:v>上市前直接股权融资轮次</x:v>
      </x:c>
      <x:c r="B26" s="155" t="str">
        <x:v>总和</x:v>
      </x:c>
      <x:c r="C26" s="191" t="n">
        <x:v>18</x:v>
      </x:c>
      <x:c r="D26" s="191" t="n">
        <x:f>'描述统计'!$F$5</x:f>
        <x:v>18</x:v>
      </x:c>
      <x:c r="E26" s="191" t="n">
        <x:f>D26-C26</x:f>
        <x:v>0</x:v>
      </x:c>
      <x:c r="F26" s="191" t="n">
        <x:v>0.000001</x:v>
      </x:c>
      <x:c r="G26" s="155" t="str">
        <x:f>IF(ABS(E26)&lt;=F26,"PASS","FAIL")</x:f>
        <x:v>PASS</x:v>
      </x:c>
      <x:c r="H26" s="155" t="str">
        <x:v>双重计算</x:v>
      </x:c>
    </x:row>
    <x:row r="27" ht="26" customHeight="1">
      <x:c r="A27" s="155" t="str">
        <x:v>上市前直接股权融资轮次</x:v>
      </x:c>
      <x:c r="B27" s="155" t="str">
        <x:v>均值</x:v>
      </x:c>
      <x:c r="C27" s="191" t="n">
        <x:v>2.25</x:v>
      </x:c>
      <x:c r="D27" s="191" t="n">
        <x:f>'描述统计'!$G$5</x:f>
        <x:v>2.25</x:v>
      </x:c>
      <x:c r="E27" s="191" t="n">
        <x:f>D27-C27</x:f>
        <x:v>0</x:v>
      </x:c>
      <x:c r="F27" s="191" t="n">
        <x:v>0.000001</x:v>
      </x:c>
      <x:c r="G27" s="155" t="str">
        <x:f>IF(ABS(E27)&lt;=F27,"PASS","FAIL")</x:f>
        <x:v>PASS</x:v>
      </x:c>
      <x:c r="H27" s="155" t="str">
        <x:v>双重计算</x:v>
      </x:c>
    </x:row>
    <x:row r="28" ht="26" customHeight="1">
      <x:c r="A28" s="155" t="str">
        <x:v>上市前直接股权融资轮次</x:v>
      </x:c>
      <x:c r="B28" s="155" t="str">
        <x:v>中位数</x:v>
      </x:c>
      <x:c r="C28" s="191" t="n">
        <x:v>2</x:v>
      </x:c>
      <x:c r="D28" s="191" t="n">
        <x:f>'描述统计'!$H$5</x:f>
        <x:v>2</x:v>
      </x:c>
      <x:c r="E28" s="191" t="n">
        <x:f>D28-C28</x:f>
        <x:v>0</x:v>
      </x:c>
      <x:c r="F28" s="191" t="n">
        <x:v>0.000001</x:v>
      </x:c>
      <x:c r="G28" s="155" t="str">
        <x:f>IF(ABS(E28)&lt;=F28,"PASS","FAIL")</x:f>
        <x:v>PASS</x:v>
      </x:c>
      <x:c r="H28" s="155" t="str">
        <x:v>双重计算</x:v>
      </x:c>
    </x:row>
    <x:row r="29" ht="26" customHeight="1">
      <x:c r="A29" s="155" t="str">
        <x:v>上市前直接股权融资轮次</x:v>
      </x:c>
      <x:c r="B29" s="155" t="str">
        <x:v>Q1</x:v>
      </x:c>
      <x:c r="C29" s="191" t="n">
        <x:v>1</x:v>
      </x:c>
      <x:c r="D29" s="191" t="n">
        <x:f>'描述统计'!$I$5</x:f>
        <x:v>1</x:v>
      </x:c>
      <x:c r="E29" s="191" t="n">
        <x:f>D29-C29</x:f>
        <x:v>0</x:v>
      </x:c>
      <x:c r="F29" s="191" t="n">
        <x:v>0.000001</x:v>
      </x:c>
      <x:c r="G29" s="155" t="str">
        <x:f>IF(ABS(E29)&lt;=F29,"PASS","FAIL")</x:f>
        <x:v>PASS</x:v>
      </x:c>
      <x:c r="H29" s="155" t="str">
        <x:v>双重计算</x:v>
      </x:c>
    </x:row>
    <x:row r="30" ht="26" customHeight="1">
      <x:c r="A30" s="155" t="str">
        <x:v>上市前直接股权融资轮次</x:v>
      </x:c>
      <x:c r="B30" s="155" t="str">
        <x:v>Q3</x:v>
      </x:c>
      <x:c r="C30" s="191" t="n">
        <x:v>2.25</x:v>
      </x:c>
      <x:c r="D30" s="191" t="n">
        <x:f>'描述统计'!$J$5</x:f>
        <x:v>2.25</x:v>
      </x:c>
      <x:c r="E30" s="191" t="n">
        <x:f>D30-C30</x:f>
        <x:v>0</x:v>
      </x:c>
      <x:c r="F30" s="191" t="n">
        <x:v>0.000001</x:v>
      </x:c>
      <x:c r="G30" s="155" t="str">
        <x:f>IF(ABS(E30)&lt;=F30,"PASS","FAIL")</x:f>
        <x:v>PASS</x:v>
      </x:c>
      <x:c r="H30" s="155" t="str">
        <x:v>双重计算</x:v>
      </x:c>
    </x:row>
    <x:row r="31" ht="26" customHeight="1">
      <x:c r="A31" s="155" t="str">
        <x:v>上市前直接股权融资轮次</x:v>
      </x:c>
      <x:c r="B31" s="155" t="str">
        <x:v>最小值</x:v>
      </x:c>
      <x:c r="C31" s="191" t="n">
        <x:v>0</x:v>
      </x:c>
      <x:c r="D31" s="191" t="n">
        <x:f>'描述统计'!$K$5</x:f>
        <x:v>0</x:v>
      </x:c>
      <x:c r="E31" s="191" t="n">
        <x:f>D31-C31</x:f>
        <x:v>0</x:v>
      </x:c>
      <x:c r="F31" s="191" t="n">
        <x:v>0.000001</x:v>
      </x:c>
      <x:c r="G31" s="155" t="str">
        <x:f>IF(ABS(E31)&lt;=F31,"PASS","FAIL")</x:f>
        <x:v>PASS</x:v>
      </x:c>
      <x:c r="H31" s="155" t="str">
        <x:v>双重计算</x:v>
      </x:c>
    </x:row>
    <x:row r="32" ht="26" customHeight="1">
      <x:c r="A32" s="155" t="str">
        <x:v>上市前直接股权融资轮次</x:v>
      </x:c>
      <x:c r="B32" s="155" t="str">
        <x:v>最大值</x:v>
      </x:c>
      <x:c r="C32" s="191" t="n">
        <x:v>7</x:v>
      </x:c>
      <x:c r="D32" s="191" t="n">
        <x:f>'描述统计'!$L$5</x:f>
        <x:v>7</x:v>
      </x:c>
      <x:c r="E32" s="191" t="n">
        <x:f>D32-C32</x:f>
        <x:v>0</x:v>
      </x:c>
      <x:c r="F32" s="191" t="n">
        <x:v>0.000001</x:v>
      </x:c>
      <x:c r="G32" s="155" t="str">
        <x:f>IF(ABS(E32)&lt;=F32,"PASS","FAIL")</x:f>
        <x:v>PASS</x:v>
      </x:c>
      <x:c r="H32" s="155" t="str">
        <x:v>双重计算</x:v>
      </x:c>
    </x:row>
    <x:row r="33" ht="26" customHeight="1">
      <x:c r="A33" s="155" t="str">
        <x:v>可核验公司融资金额下限（万元）</x:v>
      </x:c>
      <x:c r="B33" s="155" t="str">
        <x:v>总N</x:v>
      </x:c>
      <x:c r="C33" s="191" t="n">
        <x:v>8</x:v>
      </x:c>
      <x:c r="D33" s="191" t="n">
        <x:f>'描述统计'!$C$6</x:f>
        <x:v>8</x:v>
      </x:c>
      <x:c r="E33" s="191" t="n">
        <x:f>D33-C33</x:f>
        <x:v>0</x:v>
      </x:c>
      <x:c r="F33" s="191" t="n">
        <x:v>0</x:v>
      </x:c>
      <x:c r="G33" s="155" t="str">
        <x:f>IF(ABS(E33)&lt;=F33,"PASS","FAIL")</x:f>
        <x:v>PASS</x:v>
      </x:c>
      <x:c r="H33" s="155" t="str">
        <x:v>双重计算</x:v>
      </x:c>
    </x:row>
    <x:row r="34" ht="26" customHeight="1">
      <x:c r="A34" s="155" t="str">
        <x:v>可核验公司融资金额下限（万元）</x:v>
      </x:c>
      <x:c r="B34" s="155" t="str">
        <x:v>有效N</x:v>
      </x:c>
      <x:c r="C34" s="191" t="n">
        <x:v>7</x:v>
      </x:c>
      <x:c r="D34" s="191" t="n">
        <x:f>'描述统计'!$D$6</x:f>
        <x:v>7</x:v>
      </x:c>
      <x:c r="E34" s="191" t="n">
        <x:f>D34-C34</x:f>
        <x:v>0</x:v>
      </x:c>
      <x:c r="F34" s="191" t="n">
        <x:v>0</x:v>
      </x:c>
      <x:c r="G34" s="155" t="str">
        <x:f>IF(ABS(E34)&lt;=F34,"PASS","FAIL")</x:f>
        <x:v>PASS</x:v>
      </x:c>
      <x:c r="H34" s="155" t="str">
        <x:v>双重计算</x:v>
      </x:c>
    </x:row>
    <x:row r="35" ht="26" customHeight="1">
      <x:c r="A35" s="155" t="str">
        <x:v>可核验公司融资金额下限（万元）</x:v>
      </x:c>
      <x:c r="B35" s="155" t="str">
        <x:v>缺失N</x:v>
      </x:c>
      <x:c r="C35" s="191" t="n">
        <x:v>1</x:v>
      </x:c>
      <x:c r="D35" s="191" t="n">
        <x:f>'描述统计'!$E$6</x:f>
        <x:v>1</x:v>
      </x:c>
      <x:c r="E35" s="191" t="n">
        <x:f>D35-C35</x:f>
        <x:v>0</x:v>
      </x:c>
      <x:c r="F35" s="191" t="n">
        <x:v>0</x:v>
      </x:c>
      <x:c r="G35" s="155" t="str">
        <x:f>IF(ABS(E35)&lt;=F35,"PASS","FAIL")</x:f>
        <x:v>PASS</x:v>
      </x:c>
      <x:c r="H35" s="155" t="str">
        <x:v>双重计算</x:v>
      </x:c>
    </x:row>
    <x:row r="36" ht="26" customHeight="1">
      <x:c r="A36" s="155" t="str">
        <x:v>可核验公司融资金额下限（万元）</x:v>
      </x:c>
      <x:c r="B36" s="155" t="str">
        <x:v>总和</x:v>
      </x:c>
      <x:c r="C36" s="191" t="n">
        <x:v>173663.588274</x:v>
      </x:c>
      <x:c r="D36" s="191" t="n">
        <x:f>'描述统计'!$F$6</x:f>
        <x:v>173663.58827399998</x:v>
      </x:c>
      <x:c r="E36" s="191" t="n">
        <x:f>D36-C36</x:f>
        <x:v>-2.9103830456733704e-11</x:v>
      </x:c>
      <x:c r="F36" s="191" t="n">
        <x:v>0.000001</x:v>
      </x:c>
      <x:c r="G36" s="155" t="str">
        <x:f>IF(ABS(E36)&lt;=F36,"PASS","FAIL")</x:f>
        <x:v>PASS</x:v>
      </x:c>
      <x:c r="H36" s="155" t="str">
        <x:v>双重计算</x:v>
      </x:c>
    </x:row>
    <x:row r="37" ht="26" customHeight="1">
      <x:c r="A37" s="155" t="str">
        <x:v>可核验公司融资金额下限（万元）</x:v>
      </x:c>
      <x:c r="B37" s="155" t="str">
        <x:v>均值</x:v>
      </x:c>
      <x:c r="C37" s="191" t="n">
        <x:v>24809.084039142857</x:v>
      </x:c>
      <x:c r="D37" s="191" t="n">
        <x:f>'描述统计'!$G$6</x:f>
        <x:v>24809.084039142854</x:v>
      </x:c>
      <x:c r="E37" s="191" t="n">
        <x:f>D37-C37</x:f>
        <x:v>-3.637978807091713e-12</x:v>
      </x:c>
      <x:c r="F37" s="191" t="n">
        <x:v>0.000001</x:v>
      </x:c>
      <x:c r="G37" s="155" t="str">
        <x:f>IF(ABS(E37)&lt;=F37,"PASS","FAIL")</x:f>
        <x:v>PASS</x:v>
      </x:c>
      <x:c r="H37" s="155" t="str">
        <x:v>双重计算</x:v>
      </x:c>
    </x:row>
    <x:row r="38" ht="26" customHeight="1">
      <x:c r="A38" s="155" t="str">
        <x:v>可核验公司融资金额下限（万元）</x:v>
      </x:c>
      <x:c r="B38" s="155" t="str">
        <x:v>中位数</x:v>
      </x:c>
      <x:c r="C38" s="191" t="n">
        <x:v>13655.098274</x:v>
      </x:c>
      <x:c r="D38" s="191" t="n">
        <x:f>'描述统计'!$H$6</x:f>
        <x:v>13655.098274</x:v>
      </x:c>
      <x:c r="E38" s="191" t="n">
        <x:f>D38-C38</x:f>
        <x:v>0</x:v>
      </x:c>
      <x:c r="F38" s="191" t="n">
        <x:v>0.000001</x:v>
      </x:c>
      <x:c r="G38" s="155" t="str">
        <x:f>IF(ABS(E38)&lt;=F38,"PASS","FAIL")</x:f>
        <x:v>PASS</x:v>
      </x:c>
      <x:c r="H38" s="155" t="str">
        <x:v>双重计算</x:v>
      </x:c>
    </x:row>
    <x:row r="39" ht="26" customHeight="1">
      <x:c r="A39" s="155" t="str">
        <x:v>可核验公司融资金额下限（万元）</x:v>
      </x:c>
      <x:c r="B39" s="155" t="str">
        <x:v>Q1</x:v>
      </x:c>
      <x:c r="C39" s="191" t="n">
        <x:v>4411.245</x:v>
      </x:c>
      <x:c r="D39" s="191" t="n">
        <x:f>'描述统计'!$I$6</x:f>
        <x:v>4411.245</x:v>
      </x:c>
      <x:c r="E39" s="191" t="n">
        <x:f>D39-C39</x:f>
        <x:v>0</x:v>
      </x:c>
      <x:c r="F39" s="191" t="n">
        <x:v>0.000001</x:v>
      </x:c>
      <x:c r="G39" s="155" t="str">
        <x:f>IF(ABS(E39)&lt;=F39,"PASS","FAIL")</x:f>
        <x:v>PASS</x:v>
      </x:c>
      <x:c r="H39" s="155" t="str">
        <x:v>双重计算</x:v>
      </x:c>
    </x:row>
    <x:row r="40" ht="26" customHeight="1">
      <x:c r="A40" s="155" t="str">
        <x:v>可核验公司融资金额下限（万元）</x:v>
      </x:c>
      <x:c r="B40" s="155" t="str">
        <x:v>Q3</x:v>
      </x:c>
      <x:c r="C40" s="191" t="n">
        <x:v>37810</x:v>
      </x:c>
      <x:c r="D40" s="191" t="n">
        <x:f>'描述统计'!$J$6</x:f>
        <x:v>37810</x:v>
      </x:c>
      <x:c r="E40" s="191" t="n">
        <x:f>D40-C40</x:f>
        <x:v>0</x:v>
      </x:c>
      <x:c r="F40" s="191" t="n">
        <x:v>0.000001</x:v>
      </x:c>
      <x:c r="G40" s="155" t="str">
        <x:f>IF(ABS(E40)&lt;=F40,"PASS","FAIL")</x:f>
        <x:v>PASS</x:v>
      </x:c>
      <x:c r="H40" s="155" t="str">
        <x:v>双重计算</x:v>
      </x:c>
    </x:row>
    <x:row r="41" ht="26" customHeight="1">
      <x:c r="A41" s="155" t="str">
        <x:v>可核验公司融资金额下限（万元）</x:v>
      </x:c>
      <x:c r="B41" s="155" t="str">
        <x:v>最小值</x:v>
      </x:c>
      <x:c r="C41" s="191" t="n">
        <x:v>1566</x:v>
      </x:c>
      <x:c r="D41" s="191" t="n">
        <x:f>'描述统计'!$K$6</x:f>
        <x:v>1566</x:v>
      </x:c>
      <x:c r="E41" s="191" t="n">
        <x:f>D41-C41</x:f>
        <x:v>0</x:v>
      </x:c>
      <x:c r="F41" s="191" t="n">
        <x:v>0.000001</x:v>
      </x:c>
      <x:c r="G41" s="155" t="str">
        <x:f>IF(ABS(E41)&lt;=F41,"PASS","FAIL")</x:f>
        <x:v>PASS</x:v>
      </x:c>
      <x:c r="H41" s="155" t="str">
        <x:v>双重计算</x:v>
      </x:c>
    </x:row>
    <x:row r="42" ht="26" customHeight="1">
      <x:c r="A42" s="155" t="str">
        <x:v>可核验公司融资金额下限（万元）</x:v>
      </x:c>
      <x:c r="B42" s="155" t="str">
        <x:v>最大值</x:v>
      </x:c>
      <x:c r="C42" s="191" t="n">
        <x:v>74000</x:v>
      </x:c>
      <x:c r="D42" s="191" t="n">
        <x:f>'描述统计'!$L$6</x:f>
        <x:v>74000</x:v>
      </x:c>
      <x:c r="E42" s="191" t="n">
        <x:f>D42-C42</x:f>
        <x:v>0</x:v>
      </x:c>
      <x:c r="F42" s="191" t="n">
        <x:v>0.000001</x:v>
      </x:c>
      <x:c r="G42" s="155" t="str">
        <x:f>IF(ABS(E42)&lt;=F42,"PASS","FAIL")</x:f>
        <x:v>PASS</x:v>
      </x:c>
      <x:c r="H42" s="155" t="str">
        <x:v>双重计算</x:v>
      </x:c>
    </x:row>
    <x:row r="43" ht="26" customHeight="1">
      <x:c r="A43" s="155" t="str">
        <x:v>可核验股权转让对价下限（万元）</x:v>
      </x:c>
      <x:c r="B43" s="155" t="str">
        <x:v>总N</x:v>
      </x:c>
      <x:c r="C43" s="191" t="n">
        <x:v>8</x:v>
      </x:c>
      <x:c r="D43" s="191" t="n">
        <x:f>'描述统计'!$C$7</x:f>
        <x:v>8</x:v>
      </x:c>
      <x:c r="E43" s="191" t="n">
        <x:f>D43-C43</x:f>
        <x:v>0</x:v>
      </x:c>
      <x:c r="F43" s="191" t="n">
        <x:v>0</x:v>
      </x:c>
      <x:c r="G43" s="155" t="str">
        <x:f>IF(ABS(E43)&lt;=F43,"PASS","FAIL")</x:f>
        <x:v>PASS</x:v>
      </x:c>
      <x:c r="H43" s="155" t="str">
        <x:v>双重计算</x:v>
      </x:c>
    </x:row>
    <x:row r="44" ht="26" customHeight="1">
      <x:c r="A44" s="155" t="str">
        <x:v>可核验股权转让对价下限（万元）</x:v>
      </x:c>
      <x:c r="B44" s="155" t="str">
        <x:v>有效N</x:v>
      </x:c>
      <x:c r="C44" s="191" t="n">
        <x:v>4</x:v>
      </x:c>
      <x:c r="D44" s="191" t="n">
        <x:f>'描述统计'!$D$7</x:f>
        <x:v>4</x:v>
      </x:c>
      <x:c r="E44" s="191" t="n">
        <x:f>D44-C44</x:f>
        <x:v>0</x:v>
      </x:c>
      <x:c r="F44" s="191" t="n">
        <x:v>0</x:v>
      </x:c>
      <x:c r="G44" s="155" t="str">
        <x:f>IF(ABS(E44)&lt;=F44,"PASS","FAIL")</x:f>
        <x:v>PASS</x:v>
      </x:c>
      <x:c r="H44" s="155" t="str">
        <x:v>双重计算</x:v>
      </x:c>
    </x:row>
    <x:row r="45" ht="26" customHeight="1">
      <x:c r="A45" s="155" t="str">
        <x:v>可核验股权转让对价下限（万元）</x:v>
      </x:c>
      <x:c r="B45" s="155" t="str">
        <x:v>缺失N</x:v>
      </x:c>
      <x:c r="C45" s="191" t="n">
        <x:v>4</x:v>
      </x:c>
      <x:c r="D45" s="191" t="n">
        <x:f>'描述统计'!$E$7</x:f>
        <x:v>4</x:v>
      </x:c>
      <x:c r="E45" s="191" t="n">
        <x:f>D45-C45</x:f>
        <x:v>0</x:v>
      </x:c>
      <x:c r="F45" s="191" t="n">
        <x:v>0</x:v>
      </x:c>
      <x:c r="G45" s="155" t="str">
        <x:f>IF(ABS(E45)&lt;=F45,"PASS","FAIL")</x:f>
        <x:v>PASS</x:v>
      </x:c>
      <x:c r="H45" s="155" t="str">
        <x:v>双重计算</x:v>
      </x:c>
    </x:row>
    <x:row r="46" ht="26" customHeight="1">
      <x:c r="A46" s="155" t="str">
        <x:v>可核验股权转让对价下限（万元）</x:v>
      </x:c>
      <x:c r="B46" s="155" t="str">
        <x:v>总和</x:v>
      </x:c>
      <x:c r="C46" s="191" t="n">
        <x:v>17480.908</x:v>
      </x:c>
      <x:c r="D46" s="191" t="n">
        <x:f>'描述统计'!$F$7</x:f>
        <x:v>17480.908</x:v>
      </x:c>
      <x:c r="E46" s="191" t="n">
        <x:f>D46-C46</x:f>
        <x:v>0</x:v>
      </x:c>
      <x:c r="F46" s="191" t="n">
        <x:v>0.000001</x:v>
      </x:c>
      <x:c r="G46" s="155" t="str">
        <x:f>IF(ABS(E46)&lt;=F46,"PASS","FAIL")</x:f>
        <x:v>PASS</x:v>
      </x:c>
      <x:c r="H46" s="155" t="str">
        <x:v>双重计算</x:v>
      </x:c>
    </x:row>
    <x:row r="47" ht="26" customHeight="1">
      <x:c r="A47" s="155" t="str">
        <x:v>可核验股权转让对价下限（万元）</x:v>
      </x:c>
      <x:c r="B47" s="155" t="str">
        <x:v>均值</x:v>
      </x:c>
      <x:c r="C47" s="191" t="n">
        <x:v>4370.227</x:v>
      </x:c>
      <x:c r="D47" s="191" t="n">
        <x:f>'描述统计'!$G$7</x:f>
        <x:v>4370.227</x:v>
      </x:c>
      <x:c r="E47" s="191" t="n">
        <x:f>D47-C47</x:f>
        <x:v>0</x:v>
      </x:c>
      <x:c r="F47" s="191" t="n">
        <x:v>0.000001</x:v>
      </x:c>
      <x:c r="G47" s="155" t="str">
        <x:f>IF(ABS(E47)&lt;=F47,"PASS","FAIL")</x:f>
        <x:v>PASS</x:v>
      </x:c>
      <x:c r="H47" s="155" t="str">
        <x:v>双重计算</x:v>
      </x:c>
    </x:row>
    <x:row r="48" ht="26" customHeight="1">
      <x:c r="A48" s="155" t="str">
        <x:v>可核验股权转让对价下限（万元）</x:v>
      </x:c>
      <x:c r="B48" s="155" t="str">
        <x:v>中位数</x:v>
      </x:c>
      <x:c r="C48" s="191" t="n">
        <x:v>2231.3563</x:v>
      </x:c>
      <x:c r="D48" s="191" t="n">
        <x:f>'描述统计'!$H$7</x:f>
        <x:v>2231.3563</x:v>
      </x:c>
      <x:c r="E48" s="191" t="n">
        <x:f>D48-C48</x:f>
        <x:v>0</x:v>
      </x:c>
      <x:c r="F48" s="191" t="n">
        <x:v>0.000001</x:v>
      </x:c>
      <x:c r="G48" s="155" t="str">
        <x:f>IF(ABS(E48)&lt;=F48,"PASS","FAIL")</x:f>
        <x:v>PASS</x:v>
      </x:c>
      <x:c r="H48" s="155" t="str">
        <x:v>双重计算</x:v>
      </x:c>
    </x:row>
    <x:row r="49" ht="26" customHeight="1">
      <x:c r="A49" s="155" t="str">
        <x:v>可核验股权转让对价下限（万元）</x:v>
      </x:c>
      <x:c r="B49" s="155" t="str">
        <x:v>Q1</x:v>
      </x:c>
      <x:c r="C49" s="191" t="n">
        <x:v>1097.03445</x:v>
      </x:c>
      <x:c r="D49" s="191" t="n">
        <x:f>'描述统计'!$I$7</x:f>
        <x:v>1097.03445</x:v>
      </x:c>
      <x:c r="E49" s="191" t="n">
        <x:f>D49-C49</x:f>
        <x:v>0</x:v>
      </x:c>
      <x:c r="F49" s="191" t="n">
        <x:v>0.000001</x:v>
      </x:c>
      <x:c r="G49" s="155" t="str">
        <x:f>IF(ABS(E49)&lt;=F49,"PASS","FAIL")</x:f>
        <x:v>PASS</x:v>
      </x:c>
      <x:c r="H49" s="155" t="str">
        <x:v>双重计算</x:v>
      </x:c>
    </x:row>
    <x:row r="50" ht="26" customHeight="1">
      <x:c r="A50" s="155" t="str">
        <x:v>可核验股权转让对价下限（万元）</x:v>
      </x:c>
      <x:c r="B50" s="155" t="str">
        <x:v>Q3</x:v>
      </x:c>
      <x:c r="C50" s="191" t="n">
        <x:v>5504.54885</x:v>
      </x:c>
      <x:c r="D50" s="191" t="n">
        <x:f>'描述统计'!$J$7</x:f>
        <x:v>5504.54885</x:v>
      </x:c>
      <x:c r="E50" s="191" t="n">
        <x:f>D50-C50</x:f>
        <x:v>0</x:v>
      </x:c>
      <x:c r="F50" s="191" t="n">
        <x:v>0.000001</x:v>
      </x:c>
      <x:c r="G50" s="155" t="str">
        <x:f>IF(ABS(E50)&lt;=F50,"PASS","FAIL")</x:f>
        <x:v>PASS</x:v>
      </x:c>
      <x:c r="H50" s="155" t="str">
        <x:v>双重计算</x:v>
      </x:c>
    </x:row>
    <x:row r="51" ht="26" customHeight="1">
      <x:c r="A51" s="155" t="str">
        <x:v>可核验股权转让对价下限（万元）</x:v>
      </x:c>
      <x:c r="B51" s="155" t="str">
        <x:v>最小值</x:v>
      </x:c>
      <x:c r="C51" s="191" t="n">
        <x:v>0</x:v>
      </x:c>
      <x:c r="D51" s="191" t="n">
        <x:f>'描述统计'!$K$7</x:f>
        <x:v>0</x:v>
      </x:c>
      <x:c r="E51" s="191" t="n">
        <x:f>D51-C51</x:f>
        <x:v>0</x:v>
      </x:c>
      <x:c r="F51" s="191" t="n">
        <x:v>0.000001</x:v>
      </x:c>
      <x:c r="G51" s="155" t="str">
        <x:f>IF(ABS(E51)&lt;=F51,"PASS","FAIL")</x:f>
        <x:v>PASS</x:v>
      </x:c>
      <x:c r="H51" s="155" t="str">
        <x:v>双重计算</x:v>
      </x:c>
    </x:row>
    <x:row r="52" ht="26" customHeight="1">
      <x:c r="A52" s="155" t="str">
        <x:v>可核验股权转让对价下限（万元）</x:v>
      </x:c>
      <x:c r="B52" s="155" t="str">
        <x:v>最大值</x:v>
      </x:c>
      <x:c r="C52" s="191" t="n">
        <x:v>13018.1954</x:v>
      </x:c>
      <x:c r="D52" s="191" t="n">
        <x:f>'描述统计'!$L$7</x:f>
        <x:v>13018.1954</x:v>
      </x:c>
      <x:c r="E52" s="191" t="n">
        <x:f>D52-C52</x:f>
        <x:v>0</x:v>
      </x:c>
      <x:c r="F52" s="191" t="n">
        <x:v>0.000001</x:v>
      </x:c>
      <x:c r="G52" s="155" t="str">
        <x:f>IF(ABS(E52)&lt;=F52,"PASS","FAIL")</x:f>
        <x:v>PASS</x:v>
      </x:c>
      <x:c r="H52" s="155" t="str">
        <x:v>双重计算</x:v>
      </x:c>
    </x:row>
    <x:row r="53" ht="26" customHeight="1">
      <x:c r="A53" s="155" t="str">
        <x:v>直接法律主体数</x:v>
      </x:c>
      <x:c r="B53" s="155" t="str">
        <x:v>总N</x:v>
      </x:c>
      <x:c r="C53" s="191" t="n">
        <x:v>8</x:v>
      </x:c>
      <x:c r="D53" s="191" t="n">
        <x:f>'描述统计'!$C$8</x:f>
        <x:v>8</x:v>
      </x:c>
      <x:c r="E53" s="191" t="n">
        <x:f>D53-C53</x:f>
        <x:v>0</x:v>
      </x:c>
      <x:c r="F53" s="191" t="n">
        <x:v>0</x:v>
      </x:c>
      <x:c r="G53" s="155" t="str">
        <x:f>IF(ABS(E53)&lt;=F53,"PASS","FAIL")</x:f>
        <x:v>PASS</x:v>
      </x:c>
      <x:c r="H53" s="155" t="str">
        <x:v>双重计算</x:v>
      </x:c>
    </x:row>
    <x:row r="54" ht="26" customHeight="1">
      <x:c r="A54" s="155" t="str">
        <x:v>直接法律主体数</x:v>
      </x:c>
      <x:c r="B54" s="155" t="str">
        <x:v>有效N</x:v>
      </x:c>
      <x:c r="C54" s="191" t="n">
        <x:v>8</x:v>
      </x:c>
      <x:c r="D54" s="191" t="n">
        <x:f>'描述统计'!$D$8</x:f>
        <x:v>8</x:v>
      </x:c>
      <x:c r="E54" s="191" t="n">
        <x:f>D54-C54</x:f>
        <x:v>0</x:v>
      </x:c>
      <x:c r="F54" s="191" t="n">
        <x:v>0</x:v>
      </x:c>
      <x:c r="G54" s="155" t="str">
        <x:f>IF(ABS(E54)&lt;=F54,"PASS","FAIL")</x:f>
        <x:v>PASS</x:v>
      </x:c>
      <x:c r="H54" s="155" t="str">
        <x:v>双重计算</x:v>
      </x:c>
    </x:row>
    <x:row r="55" ht="26" customHeight="1">
      <x:c r="A55" s="155" t="str">
        <x:v>直接法律主体数</x:v>
      </x:c>
      <x:c r="B55" s="155" t="str">
        <x:v>缺失N</x:v>
      </x:c>
      <x:c r="C55" s="191" t="n">
        <x:v>0</x:v>
      </x:c>
      <x:c r="D55" s="191" t="n">
        <x:f>'描述统计'!$E$8</x:f>
        <x:v>0</x:v>
      </x:c>
      <x:c r="E55" s="191" t="n">
        <x:f>D55-C55</x:f>
        <x:v>0</x:v>
      </x:c>
      <x:c r="F55" s="191" t="n">
        <x:v>0</x:v>
      </x:c>
      <x:c r="G55" s="155" t="str">
        <x:f>IF(ABS(E55)&lt;=F55,"PASS","FAIL")</x:f>
        <x:v>PASS</x:v>
      </x:c>
      <x:c r="H55" s="155" t="str">
        <x:v>双重计算</x:v>
      </x:c>
    </x:row>
    <x:row r="56" ht="26" customHeight="1">
      <x:c r="A56" s="155" t="str">
        <x:v>直接法律主体数</x:v>
      </x:c>
      <x:c r="B56" s="155" t="str">
        <x:v>总和</x:v>
      </x:c>
      <x:c r="C56" s="191" t="n">
        <x:v>93</x:v>
      </x:c>
      <x:c r="D56" s="191" t="n">
        <x:f>'描述统计'!$F$8</x:f>
        <x:v>93</x:v>
      </x:c>
      <x:c r="E56" s="191" t="n">
        <x:f>D56-C56</x:f>
        <x:v>0</x:v>
      </x:c>
      <x:c r="F56" s="191" t="n">
        <x:v>0.000001</x:v>
      </x:c>
      <x:c r="G56" s="155" t="str">
        <x:f>IF(ABS(E56)&lt;=F56,"PASS","FAIL")</x:f>
        <x:v>PASS</x:v>
      </x:c>
      <x:c r="H56" s="155" t="str">
        <x:v>双重计算</x:v>
      </x:c>
    </x:row>
    <x:row r="57" ht="26" customHeight="1">
      <x:c r="A57" s="155" t="str">
        <x:v>直接法律主体数</x:v>
      </x:c>
      <x:c r="B57" s="155" t="str">
        <x:v>均值</x:v>
      </x:c>
      <x:c r="C57" s="191" t="n">
        <x:v>11.625</x:v>
      </x:c>
      <x:c r="D57" s="191" t="n">
        <x:f>'描述统计'!$G$8</x:f>
        <x:v>11.625</x:v>
      </x:c>
      <x:c r="E57" s="191" t="n">
        <x:f>D57-C57</x:f>
        <x:v>0</x:v>
      </x:c>
      <x:c r="F57" s="191" t="n">
        <x:v>0.000001</x:v>
      </x:c>
      <x:c r="G57" s="155" t="str">
        <x:f>IF(ABS(E57)&lt;=F57,"PASS","FAIL")</x:f>
        <x:v>PASS</x:v>
      </x:c>
      <x:c r="H57" s="155" t="str">
        <x:v>双重计算</x:v>
      </x:c>
    </x:row>
    <x:row r="58" ht="26" customHeight="1">
      <x:c r="A58" s="155" t="str">
        <x:v>直接法律主体数</x:v>
      </x:c>
      <x:c r="B58" s="155" t="str">
        <x:v>中位数</x:v>
      </x:c>
      <x:c r="C58" s="191" t="n">
        <x:v>9.5</x:v>
      </x:c>
      <x:c r="D58" s="191" t="n">
        <x:f>'描述统计'!$H$8</x:f>
        <x:v>9.5</x:v>
      </x:c>
      <x:c r="E58" s="191" t="n">
        <x:f>D58-C58</x:f>
        <x:v>0</x:v>
      </x:c>
      <x:c r="F58" s="191" t="n">
        <x:v>0.000001</x:v>
      </x:c>
      <x:c r="G58" s="155" t="str">
        <x:f>IF(ABS(E58)&lt;=F58,"PASS","FAIL")</x:f>
        <x:v>PASS</x:v>
      </x:c>
      <x:c r="H58" s="155" t="str">
        <x:v>双重计算</x:v>
      </x:c>
    </x:row>
    <x:row r="59" ht="26" customHeight="1">
      <x:c r="A59" s="155" t="str">
        <x:v>直接法律主体数</x:v>
      </x:c>
      <x:c r="B59" s="155" t="str">
        <x:v>Q1</x:v>
      </x:c>
      <x:c r="C59" s="191" t="n">
        <x:v>2.5</x:v>
      </x:c>
      <x:c r="D59" s="191" t="n">
        <x:f>'描述统计'!$I$8</x:f>
        <x:v>2.5</x:v>
      </x:c>
      <x:c r="E59" s="191" t="n">
        <x:f>D59-C59</x:f>
        <x:v>0</x:v>
      </x:c>
      <x:c r="F59" s="191" t="n">
        <x:v>0.000001</x:v>
      </x:c>
      <x:c r="G59" s="155" t="str">
        <x:f>IF(ABS(E59)&lt;=F59,"PASS","FAIL")</x:f>
        <x:v>PASS</x:v>
      </x:c>
      <x:c r="H59" s="155" t="str">
        <x:v>双重计算</x:v>
      </x:c>
    </x:row>
    <x:row r="60" ht="26" customHeight="1">
      <x:c r="A60" s="155" t="str">
        <x:v>直接法律主体数</x:v>
      </x:c>
      <x:c r="B60" s="155" t="str">
        <x:v>Q3</x:v>
      </x:c>
      <x:c r="C60" s="191" t="n">
        <x:v>17</x:v>
      </x:c>
      <x:c r="D60" s="191" t="n">
        <x:f>'描述统计'!$J$8</x:f>
        <x:v>17</x:v>
      </x:c>
      <x:c r="E60" s="191" t="n">
        <x:f>D60-C60</x:f>
        <x:v>0</x:v>
      </x:c>
      <x:c r="F60" s="191" t="n">
        <x:v>0.000001</x:v>
      </x:c>
      <x:c r="G60" s="155" t="str">
        <x:f>IF(ABS(E60)&lt;=F60,"PASS","FAIL")</x:f>
        <x:v>PASS</x:v>
      </x:c>
      <x:c r="H60" s="155" t="str">
        <x:v>双重计算</x:v>
      </x:c>
    </x:row>
    <x:row r="61" ht="26" customHeight="1">
      <x:c r="A61" s="155" t="str">
        <x:v>直接法律主体数</x:v>
      </x:c>
      <x:c r="B61" s="155" t="str">
        <x:v>最小值</x:v>
      </x:c>
      <x:c r="C61" s="191" t="n">
        <x:v>1</x:v>
      </x:c>
      <x:c r="D61" s="191" t="n">
        <x:f>'描述统计'!$K$8</x:f>
        <x:v>1</x:v>
      </x:c>
      <x:c r="E61" s="191" t="n">
        <x:f>D61-C61</x:f>
        <x:v>0</x:v>
      </x:c>
      <x:c r="F61" s="191" t="n">
        <x:v>0.000001</x:v>
      </x:c>
      <x:c r="G61" s="155" t="str">
        <x:f>IF(ABS(E61)&lt;=F61,"PASS","FAIL")</x:f>
        <x:v>PASS</x:v>
      </x:c>
      <x:c r="H61" s="155" t="str">
        <x:v>双重计算</x:v>
      </x:c>
    </x:row>
    <x:row r="62" ht="26" customHeight="1">
      <x:c r="A62" s="155" t="str">
        <x:v>直接法律主体数</x:v>
      </x:c>
      <x:c r="B62" s="155" t="str">
        <x:v>最大值</x:v>
      </x:c>
      <x:c r="C62" s="191" t="n">
        <x:v>35</x:v>
      </x:c>
      <x:c r="D62" s="191" t="n">
        <x:f>'描述统计'!$L$8</x:f>
        <x:v>35</x:v>
      </x:c>
      <x:c r="E62" s="191" t="n">
        <x:f>D62-C62</x:f>
        <x:v>0</x:v>
      </x:c>
      <x:c r="F62" s="191" t="n">
        <x:v>0.000001</x:v>
      </x:c>
      <x:c r="G62" s="155" t="str">
        <x:f>IF(ABS(E62)&lt;=F62,"PASS","FAIL")</x:f>
        <x:v>PASS</x:v>
      </x:c>
      <x:c r="H62" s="155" t="str">
        <x:v>双重计算</x:v>
      </x:c>
    </x:row>
    <x:row r="63" ht="26" customHeight="1">
      <x:c r="A63" s="155" t="str">
        <x:v>确认PE/VC法律主体数</x:v>
      </x:c>
      <x:c r="B63" s="155" t="str">
        <x:v>总N</x:v>
      </x:c>
      <x:c r="C63" s="191" t="n">
        <x:v>8</x:v>
      </x:c>
      <x:c r="D63" s="191" t="n">
        <x:f>'描述统计'!$C$9</x:f>
        <x:v>8</x:v>
      </x:c>
      <x:c r="E63" s="191" t="n">
        <x:f>D63-C63</x:f>
        <x:v>0</x:v>
      </x:c>
      <x:c r="F63" s="191" t="n">
        <x:v>0</x:v>
      </x:c>
      <x:c r="G63" s="155" t="str">
        <x:f>IF(ABS(E63)&lt;=F63,"PASS","FAIL")</x:f>
        <x:v>PASS</x:v>
      </x:c>
      <x:c r="H63" s="155" t="str">
        <x:v>双重计算</x:v>
      </x:c>
    </x:row>
    <x:row r="64" ht="26" customHeight="1">
      <x:c r="A64" s="155" t="str">
        <x:v>确认PE/VC法律主体数</x:v>
      </x:c>
      <x:c r="B64" s="155" t="str">
        <x:v>有效N</x:v>
      </x:c>
      <x:c r="C64" s="191" t="n">
        <x:v>8</x:v>
      </x:c>
      <x:c r="D64" s="191" t="n">
        <x:f>'描述统计'!$D$9</x:f>
        <x:v>8</x:v>
      </x:c>
      <x:c r="E64" s="191" t="n">
        <x:f>D64-C64</x:f>
        <x:v>0</x:v>
      </x:c>
      <x:c r="F64" s="191" t="n">
        <x:v>0</x:v>
      </x:c>
      <x:c r="G64" s="155" t="str">
        <x:f>IF(ABS(E64)&lt;=F64,"PASS","FAIL")</x:f>
        <x:v>PASS</x:v>
      </x:c>
      <x:c r="H64" s="155" t="str">
        <x:v>双重计算</x:v>
      </x:c>
    </x:row>
    <x:row r="65" ht="26" customHeight="1">
      <x:c r="A65" s="155" t="str">
        <x:v>确认PE/VC法律主体数</x:v>
      </x:c>
      <x:c r="B65" s="155" t="str">
        <x:v>缺失N</x:v>
      </x:c>
      <x:c r="C65" s="191" t="n">
        <x:v>0</x:v>
      </x:c>
      <x:c r="D65" s="191" t="n">
        <x:f>'描述统计'!$E$9</x:f>
        <x:v>0</x:v>
      </x:c>
      <x:c r="E65" s="191" t="n">
        <x:f>D65-C65</x:f>
        <x:v>0</x:v>
      </x:c>
      <x:c r="F65" s="191" t="n">
        <x:v>0</x:v>
      </x:c>
      <x:c r="G65" s="155" t="str">
        <x:f>IF(ABS(E65)&lt;=F65,"PASS","FAIL")</x:f>
        <x:v>PASS</x:v>
      </x:c>
      <x:c r="H65" s="155" t="str">
        <x:v>双重计算</x:v>
      </x:c>
    </x:row>
    <x:row r="66" ht="26" customHeight="1">
      <x:c r="A66" s="155" t="str">
        <x:v>确认PE/VC法律主体数</x:v>
      </x:c>
      <x:c r="B66" s="155" t="str">
        <x:v>总和</x:v>
      </x:c>
      <x:c r="C66" s="191" t="n">
        <x:v>16</x:v>
      </x:c>
      <x:c r="D66" s="191" t="n">
        <x:f>'描述统计'!$F$9</x:f>
        <x:v>16</x:v>
      </x:c>
      <x:c r="E66" s="191" t="n">
        <x:f>D66-C66</x:f>
        <x:v>0</x:v>
      </x:c>
      <x:c r="F66" s="191" t="n">
        <x:v>0.000001</x:v>
      </x:c>
      <x:c r="G66" s="155" t="str">
        <x:f>IF(ABS(E66)&lt;=F66,"PASS","FAIL")</x:f>
        <x:v>PASS</x:v>
      </x:c>
      <x:c r="H66" s="155" t="str">
        <x:v>双重计算</x:v>
      </x:c>
    </x:row>
    <x:row r="67" ht="26" customHeight="1">
      <x:c r="A67" s="155" t="str">
        <x:v>确认PE/VC法律主体数</x:v>
      </x:c>
      <x:c r="B67" s="155" t="str">
        <x:v>均值</x:v>
      </x:c>
      <x:c r="C67" s="191" t="n">
        <x:v>2</x:v>
      </x:c>
      <x:c r="D67" s="191" t="n">
        <x:f>'描述统计'!$G$9</x:f>
        <x:v>2</x:v>
      </x:c>
      <x:c r="E67" s="191" t="n">
        <x:f>D67-C67</x:f>
        <x:v>0</x:v>
      </x:c>
      <x:c r="F67" s="191" t="n">
        <x:v>0.000001</x:v>
      </x:c>
      <x:c r="G67" s="155" t="str">
        <x:f>IF(ABS(E67)&lt;=F67,"PASS","FAIL")</x:f>
        <x:v>PASS</x:v>
      </x:c>
      <x:c r="H67" s="155" t="str">
        <x:v>双重计算</x:v>
      </x:c>
    </x:row>
    <x:row r="68" ht="26" customHeight="1">
      <x:c r="A68" s="155" t="str">
        <x:v>确认PE/VC法律主体数</x:v>
      </x:c>
      <x:c r="B68" s="155" t="str">
        <x:v>中位数</x:v>
      </x:c>
      <x:c r="C68" s="191" t="n">
        <x:v>0</x:v>
      </x:c>
      <x:c r="D68" s="191" t="n">
        <x:f>'描述统计'!$H$9</x:f>
        <x:v>0</x:v>
      </x:c>
      <x:c r="E68" s="191" t="n">
        <x:f>D68-C68</x:f>
        <x:v>0</x:v>
      </x:c>
      <x:c r="F68" s="191" t="n">
        <x:v>0.000001</x:v>
      </x:c>
      <x:c r="G68" s="155" t="str">
        <x:f>IF(ABS(E68)&lt;=F68,"PASS","FAIL")</x:f>
        <x:v>PASS</x:v>
      </x:c>
      <x:c r="H68" s="155" t="str">
        <x:v>双重计算</x:v>
      </x:c>
    </x:row>
    <x:row r="69" ht="26" customHeight="1">
      <x:c r="A69" s="155" t="str">
        <x:v>确认PE/VC法律主体数</x:v>
      </x:c>
      <x:c r="B69" s="155" t="str">
        <x:v>Q1</x:v>
      </x:c>
      <x:c r="C69" s="191" t="n">
        <x:v>0</x:v>
      </x:c>
      <x:c r="D69" s="191" t="n">
        <x:f>'描述统计'!$I$9</x:f>
        <x:v>0</x:v>
      </x:c>
      <x:c r="E69" s="191" t="n">
        <x:f>D69-C69</x:f>
        <x:v>0</x:v>
      </x:c>
      <x:c r="F69" s="191" t="n">
        <x:v>0.000001</x:v>
      </x:c>
      <x:c r="G69" s="155" t="str">
        <x:f>IF(ABS(E69)&lt;=F69,"PASS","FAIL")</x:f>
        <x:v>PASS</x:v>
      </x:c>
      <x:c r="H69" s="155" t="str">
        <x:v>双重计算</x:v>
      </x:c>
    </x:row>
    <x:row r="70" ht="26" customHeight="1">
      <x:c r="A70" s="155" t="str">
        <x:v>确认PE/VC法律主体数</x:v>
      </x:c>
      <x:c r="B70" s="155" t="str">
        <x:v>Q3</x:v>
      </x:c>
      <x:c r="C70" s="191" t="n">
        <x:v>2</x:v>
      </x:c>
      <x:c r="D70" s="191" t="n">
        <x:f>'描述统计'!$J$9</x:f>
        <x:v>2</x:v>
      </x:c>
      <x:c r="E70" s="191" t="n">
        <x:f>D70-C70</x:f>
        <x:v>0</x:v>
      </x:c>
      <x:c r="F70" s="191" t="n">
        <x:v>0.000001</x:v>
      </x:c>
      <x:c r="G70" s="155" t="str">
        <x:f>IF(ABS(E70)&lt;=F70,"PASS","FAIL")</x:f>
        <x:v>PASS</x:v>
      </x:c>
      <x:c r="H70" s="155" t="str">
        <x:v>双重计算</x:v>
      </x:c>
    </x:row>
    <x:row r="71" ht="26" customHeight="1">
      <x:c r="A71" s="155" t="str">
        <x:v>确认PE/VC法律主体数</x:v>
      </x:c>
      <x:c r="B71" s="155" t="str">
        <x:v>最小值</x:v>
      </x:c>
      <x:c r="C71" s="191" t="n">
        <x:v>0</x:v>
      </x:c>
      <x:c r="D71" s="191" t="n">
        <x:f>'描述统计'!$K$9</x:f>
        <x:v>0</x:v>
      </x:c>
      <x:c r="E71" s="191" t="n">
        <x:f>D71-C71</x:f>
        <x:v>0</x:v>
      </x:c>
      <x:c r="F71" s="191" t="n">
        <x:v>0.000001</x:v>
      </x:c>
      <x:c r="G71" s="155" t="str">
        <x:f>IF(ABS(E71)&lt;=F71,"PASS","FAIL")</x:f>
        <x:v>PASS</x:v>
      </x:c>
      <x:c r="H71" s="155" t="str">
        <x:v>双重计算</x:v>
      </x:c>
    </x:row>
    <x:row r="72" ht="26" customHeight="1">
      <x:c r="A72" s="155" t="str">
        <x:v>确认PE/VC法律主体数</x:v>
      </x:c>
      <x:c r="B72" s="155" t="str">
        <x:v>最大值</x:v>
      </x:c>
      <x:c r="C72" s="191" t="n">
        <x:v>12</x:v>
      </x:c>
      <x:c r="D72" s="191" t="n">
        <x:f>'描述统计'!$L$9</x:f>
        <x:v>12</x:v>
      </x:c>
      <x:c r="E72" s="191" t="n">
        <x:f>D72-C72</x:f>
        <x:v>0</x:v>
      </x:c>
      <x:c r="F72" s="191" t="n">
        <x:v>0.000001</x:v>
      </x:c>
      <x:c r="G72" s="155" t="str">
        <x:f>IF(ABS(E72)&lt;=F72,"PASS","FAIL")</x:f>
        <x:v>PASS</x:v>
      </x:c>
      <x:c r="H72" s="155" t="str">
        <x:v>双重计算</x:v>
      </x:c>
    </x:row>
    <x:row r="73" ht="26" customHeight="1">
      <x:c r="A73" s="155" t="str">
        <x:v>单轮可核验融资金额（万元）</x:v>
      </x:c>
      <x:c r="B73" s="155" t="str">
        <x:v>总N</x:v>
      </x:c>
      <x:c r="C73" s="191" t="n">
        <x:v>18</x:v>
      </x:c>
      <x:c r="D73" s="191" t="n">
        <x:f>'描述统计'!$C$10</x:f>
        <x:v>18</x:v>
      </x:c>
      <x:c r="E73" s="191" t="n">
        <x:f>D73-C73</x:f>
        <x:v>0</x:v>
      </x:c>
      <x:c r="F73" s="191" t="n">
        <x:v>0</x:v>
      </x:c>
      <x:c r="G73" s="155" t="str">
        <x:f>IF(ABS(E73)&lt;=F73,"PASS","FAIL")</x:f>
        <x:v>PASS</x:v>
      </x:c>
      <x:c r="H73" s="155" t="str">
        <x:v>双重计算</x:v>
      </x:c>
    </x:row>
    <x:row r="74" ht="26" customHeight="1">
      <x:c r="A74" s="155" t="str">
        <x:v>单轮可核验融资金额（万元）</x:v>
      </x:c>
      <x:c r="B74" s="155" t="str">
        <x:v>有效N</x:v>
      </x:c>
      <x:c r="C74" s="191" t="n">
        <x:v>14</x:v>
      </x:c>
      <x:c r="D74" s="191" t="n">
        <x:f>'描述统计'!$D$10</x:f>
        <x:v>14</x:v>
      </x:c>
      <x:c r="E74" s="191" t="n">
        <x:f>D74-C74</x:f>
        <x:v>0</x:v>
      </x:c>
      <x:c r="F74" s="191" t="n">
        <x:v>0</x:v>
      </x:c>
      <x:c r="G74" s="155" t="str">
        <x:f>IF(ABS(E74)&lt;=F74,"PASS","FAIL")</x:f>
        <x:v>PASS</x:v>
      </x:c>
      <x:c r="H74" s="155" t="str">
        <x:v>双重计算</x:v>
      </x:c>
    </x:row>
    <x:row r="75" ht="26" customHeight="1">
      <x:c r="A75" s="155" t="str">
        <x:v>单轮可核验融资金额（万元）</x:v>
      </x:c>
      <x:c r="B75" s="155" t="str">
        <x:v>缺失N</x:v>
      </x:c>
      <x:c r="C75" s="191" t="n">
        <x:v>4</x:v>
      </x:c>
      <x:c r="D75" s="191" t="n">
        <x:f>'描述统计'!$E$10</x:f>
        <x:v>4</x:v>
      </x:c>
      <x:c r="E75" s="191" t="n">
        <x:f>D75-C75</x:f>
        <x:v>0</x:v>
      </x:c>
      <x:c r="F75" s="191" t="n">
        <x:v>0</x:v>
      </x:c>
      <x:c r="G75" s="155" t="str">
        <x:f>IF(ABS(E75)&lt;=F75,"PASS","FAIL")</x:f>
        <x:v>PASS</x:v>
      </x:c>
      <x:c r="H75" s="155" t="str">
        <x:v>双重计算</x:v>
      </x:c>
    </x:row>
    <x:row r="76" ht="26" customHeight="1">
      <x:c r="A76" s="155" t="str">
        <x:v>单轮可核验融资金额（万元）</x:v>
      </x:c>
      <x:c r="B76" s="155" t="str">
        <x:v>总和</x:v>
      </x:c>
      <x:c r="C76" s="191" t="n">
        <x:v>173543.588274</x:v>
      </x:c>
      <x:c r="D76" s="191" t="n">
        <x:f>'描述统计'!$F$10</x:f>
        <x:v>173543.58827399998</x:v>
      </x:c>
      <x:c r="E76" s="191" t="n">
        <x:f>D76-C76</x:f>
        <x:v>-2.9103830456733704e-11</x:v>
      </x:c>
      <x:c r="F76" s="191" t="n">
        <x:v>0.000001</x:v>
      </x:c>
      <x:c r="G76" s="155" t="str">
        <x:f>IF(ABS(E76)&lt;=F76,"PASS","FAIL")</x:f>
        <x:v>PASS</x:v>
      </x:c>
      <x:c r="H76" s="155" t="str">
        <x:v>双重计算</x:v>
      </x:c>
    </x:row>
    <x:row r="77" ht="26" customHeight="1">
      <x:c r="A77" s="155" t="str">
        <x:v>单轮可核验融资金额（万元）</x:v>
      </x:c>
      <x:c r="B77" s="155" t="str">
        <x:v>均值</x:v>
      </x:c>
      <x:c r="C77" s="191" t="n">
        <x:v>12395.970591000001</x:v>
      </x:c>
      <x:c r="D77" s="191" t="n">
        <x:f>'描述统计'!$G$10</x:f>
        <x:v>12395.970591</x:v>
      </x:c>
      <x:c r="E77" s="191" t="n">
        <x:f>D77-C77</x:f>
        <x:v>-1.8189894035458565e-12</x:v>
      </x:c>
      <x:c r="F77" s="191" t="n">
        <x:v>0.000001</x:v>
      </x:c>
      <x:c r="G77" s="155" t="str">
        <x:f>IF(ABS(E77)&lt;=F77,"PASS","FAIL")</x:f>
        <x:v>PASS</x:v>
      </x:c>
      <x:c r="H77" s="155" t="str">
        <x:v>双重计算</x:v>
      </x:c>
    </x:row>
    <x:row r="78" ht="26" customHeight="1">
      <x:c r="A78" s="155" t="str">
        <x:v>单轮可核验融资金额（万元）</x:v>
      </x:c>
      <x:c r="B78" s="155" t="str">
        <x:v>中位数</x:v>
      </x:c>
      <x:c r="C78" s="191" t="n">
        <x:v>6000</x:v>
      </x:c>
      <x:c r="D78" s="191" t="n">
        <x:f>'描述统计'!$H$10</x:f>
        <x:v>6000</x:v>
      </x:c>
      <x:c r="E78" s="191" t="n">
        <x:f>D78-C78</x:f>
        <x:v>0</x:v>
      </x:c>
      <x:c r="F78" s="191" t="n">
        <x:v>0.000001</x:v>
      </x:c>
      <x:c r="G78" s="155" t="str">
        <x:f>IF(ABS(E78)&lt;=F78,"PASS","FAIL")</x:f>
        <x:v>PASS</x:v>
      </x:c>
      <x:c r="H78" s="155" t="str">
        <x:v>双重计算</x:v>
      </x:c>
    </x:row>
    <x:row r="79" ht="26" customHeight="1">
      <x:c r="A79" s="155" t="str">
        <x:v>单轮可核验融资金额（万元）</x:v>
      </x:c>
      <x:c r="B79" s="155" t="str">
        <x:v>Q1</x:v>
      </x:c>
      <x:c r="C79" s="191" t="n">
        <x:v>2187.20966</x:v>
      </x:c>
      <x:c r="D79" s="191" t="n">
        <x:f>'描述统计'!$I$10</x:f>
        <x:v>2187.20966</x:v>
      </x:c>
      <x:c r="E79" s="191" t="n">
        <x:f>D79-C79</x:f>
        <x:v>0</x:v>
      </x:c>
      <x:c r="F79" s="191" t="n">
        <x:v>0.000001</x:v>
      </x:c>
      <x:c r="G79" s="155" t="str">
        <x:f>IF(ABS(E79)&lt;=F79,"PASS","FAIL")</x:f>
        <x:v>PASS</x:v>
      </x:c>
      <x:c r="H79" s="155" t="str">
        <x:v>双重计算</x:v>
      </x:c>
    </x:row>
    <x:row r="80" ht="26" customHeight="1">
      <x:c r="A80" s="155" t="str">
        <x:v>单轮可核验融资金额（万元）</x:v>
      </x:c>
      <x:c r="B80" s="155" t="str">
        <x:v>Q3</x:v>
      </x:c>
      <x:c r="C80" s="191" t="n">
        <x:v>14132.5713485</x:v>
      </x:c>
      <x:c r="D80" s="191" t="n">
        <x:f>'描述统计'!$J$10</x:f>
        <x:v>14132.571348499998</x:v>
      </x:c>
      <x:c r="E80" s="191" t="n">
        <x:f>D80-C80</x:f>
        <x:v>-1.8189894035458565e-12</x:v>
      </x:c>
      <x:c r="F80" s="191" t="n">
        <x:v>0.000001</x:v>
      </x:c>
      <x:c r="G80" s="155" t="str">
        <x:f>IF(ABS(E80)&lt;=F80,"PASS","FAIL")</x:f>
        <x:v>PASS</x:v>
      </x:c>
      <x:c r="H80" s="155" t="str">
        <x:v>双重计算</x:v>
      </x:c>
    </x:row>
    <x:row r="81" ht="26" customHeight="1">
      <x:c r="A81" s="155" t="str">
        <x:v>单轮可核验融资金额（万元）</x:v>
      </x:c>
      <x:c r="B81" s="155" t="str">
        <x:v>最小值</x:v>
      </x:c>
      <x:c r="C81" s="191" t="n">
        <x:v>1500</x:v>
      </x:c>
      <x:c r="D81" s="191" t="n">
        <x:f>'描述统计'!$K$10</x:f>
        <x:v>1500</x:v>
      </x:c>
      <x:c r="E81" s="191" t="n">
        <x:f>D81-C81</x:f>
        <x:v>0</x:v>
      </x:c>
      <x:c r="F81" s="191" t="n">
        <x:v>0.000001</x:v>
      </x:c>
      <x:c r="G81" s="155" t="str">
        <x:f>IF(ABS(E81)&lt;=F81,"PASS","FAIL")</x:f>
        <x:v>PASS</x:v>
      </x:c>
      <x:c r="H81" s="155" t="str">
        <x:v>双重计算</x:v>
      </x:c>
    </x:row>
    <x:row r="82" ht="26" customHeight="1">
      <x:c r="A82" s="155" t="str">
        <x:v>单轮可核验融资金额（万元）</x:v>
      </x:c>
      <x:c r="B82" s="155" t="str">
        <x:v>最大值</x:v>
      </x:c>
      <x:c r="C82" s="191" t="n">
        <x:v>54000</x:v>
      </x:c>
      <x:c r="D82" s="191" t="n">
        <x:f>'描述统计'!$L$10</x:f>
        <x:v>54000</x:v>
      </x:c>
      <x:c r="E82" s="191" t="n">
        <x:f>D82-C82</x:f>
        <x:v>0</x:v>
      </x:c>
      <x:c r="F82" s="191" t="n">
        <x:v>0.000001</x:v>
      </x:c>
      <x:c r="G82" s="155" t="str">
        <x:f>IF(ABS(E82)&lt;=F82,"PASS","FAIL")</x:f>
        <x:v>PASS</x:v>
      </x:c>
      <x:c r="H82" s="155" t="str">
        <x:v>双重计算</x:v>
      </x:c>
    </x:row>
    <x:row r="83">
      <x:c r="A83" s="133"/>
      <x:c r="B83" s="133"/>
      <x:c r="C83" s="133"/>
      <x:c r="D83" s="133"/>
      <x:c r="E83" s="133"/>
      <x:c r="F83" s="133"/>
      <x:c r="G83" s="133"/>
      <x:c r="H83" s="133"/>
    </x:row>
    <x:row r="84" ht="24" customHeight="1">
      <x:c r="A84" s="131" t="str">
        <x:v>阶段总状态</x:v>
      </x:c>
      <x:c r="B84" s="131"/>
      <x:c r="C84" s="131"/>
      <x:c r="D84" s="131"/>
      <x:c r="E84" s="131"/>
      <x:c r="F84" s="131"/>
      <x:c r="G84" s="131"/>
      <x:c r="H84" s="131"/>
    </x:row>
    <x:row r="85">
      <x:c r="A85" s="200" t="str">
        <x:f>IF(COUNTIF($G$5:$G$82,"FAIL")=0,"PASS｜等待用户验收","FAIL｜不得进入Stage 3")</x:f>
        <x:v>PASS｜等待用户验收</x:v>
      </x:c>
      <x:c r="B85" s="200"/>
      <x:c r="C85" s="200"/>
      <x:c r="D85" s="200"/>
      <x:c r="E85" s="200"/>
      <x:c r="F85" s="200"/>
      <x:c r="G85" s="200"/>
      <x:c r="H85" s="200"/>
    </x:row>
  </x:sheetData>
  <x:mergeCells>
    <x:mergeCell ref="A1:H1"/>
    <x:mergeCell ref="A2:H2"/>
    <x:mergeCell ref="A21:H21"/>
    <x:mergeCell ref="A84:H84"/>
    <x:mergeCell ref="A85:H85"/>
  </x:mergeCells>
  <x:conditionalFormatting sqref="G5:G19">
    <x:cfRule type="containsText" dxfId="1" priority="1" operator="containsText" text="PASS"/>
    <x:cfRule type="containsText" dxfId="2" priority="2" operator="containsText" text="FAIL"/>
  </x:conditionalFormatting>
  <x:conditionalFormatting sqref="G23:G82">
    <x:cfRule type="containsText" dxfId="3" priority="3" operator="containsText" text="PASS"/>
    <x:cfRule type="containsText" dxfId="4" priority="4" operator="containsText" text="FAIL"/>
  </x:conditionalFormatting>
  <x:pageMargins left="0.7" right="0.7" top="0.75" bottom="0.75" header="0.3" footer="0.3"/>
</x:worksheet>
</file>