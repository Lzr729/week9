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021b6416d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0af30ed20e1148be"/>
    <x:sheet xmlns:r="http://schemas.openxmlformats.org/officeDocument/2006/relationships" name="评分与闸门规则" sheetId="2" r:id="Rc67030b891aa4e5c"/>
    <x:sheet xmlns:r="http://schemas.openxmlformats.org/officeDocument/2006/relationships" name="逐轴初评矩阵" sheetId="3" r:id="R3c7e143c7f7a4a8d"/>
    <x:sheet xmlns:r="http://schemas.openxmlformats.org/officeDocument/2006/relationships" name="逐轴评分证据" sheetId="4" r:id="Rf697ee53ed2a406a"/>
    <x:sheet xmlns:r="http://schemas.openxmlformats.org/officeDocument/2006/relationships" name="闸门判定表" sheetId="5" r:id="Rb61aa84ada144e5c"/>
    <x:sheet xmlns:r="http://schemas.openxmlformats.org/officeDocument/2006/relationships" name="公司画像摘要" sheetId="6" r:id="R21070f71ecf04991"/>
    <x:sheet xmlns:r="http://schemas.openxmlformats.org/officeDocument/2006/relationships" name="禁止推断" sheetId="7" r:id="Ra4d6f3406cf34efa"/>
    <x:sheet xmlns:r="http://schemas.openxmlformats.org/officeDocument/2006/relationships" name="验收检查" sheetId="8" r:id="Raf43fc26195c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475569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color rgb="FF0F766E"/>
      <x:name val="Microsoft YaHei"/>
    </x:font>
    <x:font>
      <x:sz val="11"/>
      <x:color rgb="FF5B21B6"/>
      <x:name val="Microsoft YaHei"/>
    </x:font>
    <x:font>
      <x:sz val="11"/>
      <x:color rgb="FF111827"/>
      <x:name val="Microsoft YaHei"/>
    </x:font>
    <x:font>
      <x:sz val="11"/>
      <x:color rgb="FF008000"/>
      <x:name val="Microsoft YaHei"/>
    </x:font>
    <x:font>
      <x:sz val="11"/>
      <x:color rgb="FF991B1B"/>
      <x:name val="Microsoft YaHei"/>
    </x:font>
    <x:font>
      <x:sz val="11"/>
      <x:color rgb="FF166534"/>
      <x:name val="Microsoft YaHei"/>
    </x:font>
    <x:font>
      <x:b/>
      <x:sz val="14"/>
      <x:color rgb="FF166534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B"/>
      </x:patternFill>
    </x:fill>
    <x:fill>
      <x:patternFill patternType="solid">
        <x:fgColor rgb="FFDDF4F0"/>
      </x:patternFill>
    </x:fill>
    <x:fill>
      <x:patternFill patternType="solid">
        <x:fgColor rgb="FFEDE9FE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75e108ab54858" /><Relationship Type="http://schemas.openxmlformats.org/officeDocument/2006/relationships/theme" Target="/xl/theme/theme1.xml" Id="Rf420d339bf15432c" /><Relationship Type="http://schemas.microsoft.com/office/2022/11/relationships/FeaturePropertyBag" Target="/xl/featurePropertyBag/featurePropertyBag.xml" Id="Reca5d94992274682" /><Relationship Type="http://schemas.openxmlformats.org/officeDocument/2006/relationships/sharedStrings" Target="/xl/sharedStrings.xml" Id="R704c480dc8fa4d3d" /><Relationship Type="http://schemas.openxmlformats.org/officeDocument/2006/relationships/worksheet" Target="/xl/worksheets/sheet1.xml" Id="R0af30ed20e1148be" /><Relationship Type="http://schemas.openxmlformats.org/officeDocument/2006/relationships/worksheet" Target="/xl/worksheets/sheet2.xml" Id="Rc67030b891aa4e5c" /><Relationship Type="http://schemas.openxmlformats.org/officeDocument/2006/relationships/worksheet" Target="/xl/worksheets/sheet3.xml" Id="R3c7e143c7f7a4a8d" /><Relationship Type="http://schemas.openxmlformats.org/officeDocument/2006/relationships/worksheet" Target="/xl/worksheets/sheet4.xml" Id="Rf697ee53ed2a406a" /><Relationship Type="http://schemas.openxmlformats.org/officeDocument/2006/relationships/worksheet" Target="/xl/worksheets/sheet5.xml" Id="Rb61aa84ada144e5c" /><Relationship Type="http://schemas.openxmlformats.org/officeDocument/2006/relationships/worksheet" Target="/xl/worksheets/sheet6.xml" Id="R21070f71ecf04991" /><Relationship Type="http://schemas.openxmlformats.org/officeDocument/2006/relationships/worksheet" Target="/xl/worksheets/sheet7.xml" Id="Ra4d6f3406cf34efa" /><Relationship Type="http://schemas.openxmlformats.org/officeDocument/2006/relationships/worksheet" Target="/xl/worksheets/sheet8.xml" Id="Raf43fc26195c4e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44" hidden="0" customWidth="1"/>
    <x:col min="5" max="5" width="22" hidden="0" customWidth="1"/>
    <x:col min="6" max="6" width="44" hidden="0" customWidth="1"/>
    <x:col min="7" max="7" width="22" hidden="0" customWidth="1"/>
    <x:col min="8" max="8" width="52" hidden="0" customWidth="1"/>
  </x:cols>
  <x:sheetData>
    <x:row r="1" ht="32" customHeight="1">
      <x:c r="A1" s="3" t="str">
        <x:v>Week 9 · Stage 6B 闸门判定与逐轴初评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应用G0—G3并对S1—S5分别初评；不计算总分、不排名、不确定最终代表公司。</x:v>
      </x:c>
      <x:c r="B2" s="7"/>
      <x:c r="C2" s="7"/>
      <x:c r="D2" s="7"/>
      <x:c r="E2" s="7"/>
      <x:c r="F2" s="7"/>
      <x:c r="G2" s="7"/>
      <x:c r="H2" s="7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24" customHeight="1">
      <x:c r="A4" s="9" t="str">
        <x:v>输入—处理—输出—验收</x:v>
      </x:c>
      <x:c r="B4" s="9"/>
      <x:c r="C4" s="9"/>
      <x:c r="D4" s="9"/>
      <x:c r="E4" s="9"/>
      <x:c r="F4" s="9"/>
      <x:c r="G4" s="9"/>
      <x:c r="H4" s="9"/>
    </x:row>
    <x:row r="5" ht="60" customHeight="1">
      <x:c r="A5" s="18" t="str">
        <x:v>输入</x:v>
      </x:c>
      <x:c r="B5" s="14" t="str">
        <x:v>Stage6A矩阵底表+Stage5D评分锚点</x:v>
      </x:c>
      <x:c r="C5" s="18" t="str">
        <x:v>Stage6A SHA</x:v>
      </x:c>
      <x:c r="D5" s="14" t="str">
        <x:v>0c9104689bfd2510727dfff1c22cbb5e7f4beece939c54f53f75c7329183e8ba</x:v>
      </x:c>
      <x:c r="E5" s="18" t="str">
        <x:v>Stage5D SHA</x:v>
      </x:c>
      <x:c r="F5" s="14" t="str">
        <x:v>e9cfb4e77163d1debaac0051711832a6d74146d54fcd9f3244cf02df7733739f</x:v>
      </x:c>
      <x:c r="G5" s="18" t="str">
        <x:v>公司</x:v>
      </x:c>
      <x:c r="H5" s="14" t="n">
        <x:v>8</x:v>
      </x:c>
    </x:row>
    <x:row r="6" ht="60" customHeight="1">
      <x:c r="A6" s="18" t="str">
        <x:v>处理</x:v>
      </x:c>
      <x:c r="B6" s="14" t="str">
        <x:v>40个公司—轴判断；32个公司—闸门判断；逐项记录证据和边界</x:v>
      </x:c>
      <x:c r="C6" s="18" t="str">
        <x:v>可评分</x:v>
      </x:c>
      <x:c r="D6" s="14" t="n">
        <x:v>39</x:v>
      </x:c>
      <x:c r="E6" s="18" t="str">
        <x:v>不评分</x:v>
      </x:c>
      <x:c r="F6" s="14" t="n">
        <x:v>1</x:v>
      </x:c>
      <x:c r="G6" s="18" t="str">
        <x:v>总分/排名</x:v>
      </x:c>
      <x:c r="H6" s="14" t="n">
        <x:v>0</x:v>
      </x:c>
    </x:row>
    <x:row r="7" ht="60" customHeight="1">
      <x:c r="A7" s="18" t="str">
        <x:v>输出</x:v>
      </x:c>
      <x:c r="B7" s="14" t="str">
        <x:v>S1—S5轴向量、G0—G3判定、后续组合比较资格</x:v>
      </x:c>
      <x:c r="C7" s="18" t="str">
        <x:v>G0核心通过</x:v>
      </x:c>
      <x:c r="D7" s="14" t="n">
        <x:v>7</x:v>
      </x:c>
      <x:c r="E7" s="18" t="str">
        <x:v>方法边界</x:v>
      </x:c>
      <x:c r="F7" s="14" t="n">
        <x:v>1</x:v>
      </x:c>
      <x:c r="G7" s="18" t="str">
        <x:v>S6</x:v>
      </x:c>
      <x:c r="H7" s="14" t="str">
        <x:v>PENDING_STAGE6C</x:v>
      </x:c>
    </x:row>
    <x:row r="8" ht="60" customHeight="1">
      <x:c r="A8" s="19" t="str">
        <x:v>验收</x:v>
      </x:c>
      <x:c r="B8" s="15" t="str">
        <x:v>输入身份、评分覆盖、空值语义、闸门闭合和禁止推断检查</x:v>
      </x:c>
      <x:c r="C8" s="19" t="str">
        <x:v>检查项</x:v>
      </x:c>
      <x:c r="D8" s="15" t="n">
        <x:v>27</x:v>
      </x:c>
      <x:c r="E8" s="19" t="str">
        <x:v>公式错误</x:v>
      </x:c>
      <x:c r="F8" s="15" t="str">
        <x:v>必须为0</x:v>
      </x:c>
      <x:c r="G8" s="19" t="str">
        <x:v>冻结</x:v>
      </x:c>
      <x:c r="H8" s="15" t="str">
        <x:v>FROZEN_STAGE6B</x:v>
      </x:c>
    </x:row>
    <x:row r="9">
      <x:c r="A9" s="10"/>
      <x:c r="B9" s="10"/>
      <x:c r="C9" s="10"/>
      <x:c r="D9" s="10"/>
      <x:c r="E9" s="10"/>
      <x:c r="F9" s="10"/>
      <x:c r="G9" s="10"/>
      <x:c r="H9" s="10"/>
    </x:row>
    <x:row r="10" ht="24" customHeight="1">
      <x:c r="A10" s="9" t="str">
        <x:v>本阶段的判断原则</x:v>
      </x:c>
      <x:c r="B10" s="9"/>
      <x:c r="C10" s="9"/>
      <x:c r="D10" s="9"/>
      <x:c r="E10" s="9"/>
      <x:c r="F10" s="9"/>
      <x:c r="G10" s="9"/>
      <x:c r="H10" s="9"/>
    </x:row>
    <x:row r="11" ht="52" customHeight="1">
      <x:c r="A11" s="25" t="str">
        <x:v>1</x:v>
      </x:c>
      <x:c r="B11" s="25" t="str">
        <x:v>轴内评分</x:v>
      </x:c>
      <x:c r="C11" s="25"/>
      <x:c r="D11" s="25" t="str">
        <x:v>0—2只表达该轴的信息丰富度或可审计程度，不是公司质量。</x:v>
      </x:c>
      <x:c r="E11" s="25"/>
      <x:c r="F11" s="25"/>
      <x:c r="G11" s="25"/>
      <x:c r="H11" s="25"/>
    </x:row>
    <x:row r="12" ht="52" customHeight="1">
      <x:c r="A12" s="25" t="str">
        <x:v>2</x:v>
      </x:c>
      <x:c r="B12" s="25" t="str">
        <x:v>缺失优先</x:v>
      </x:c>
      <x:c r="C12" s="25"/>
      <x:c r="D12" s="25" t="str">
        <x:v>关键变量不可计算时可以不评分；NOT_SCORED不得写成0。</x:v>
      </x:c>
      <x:c r="E12" s="25"/>
      <x:c r="F12" s="25"/>
      <x:c r="G12" s="25"/>
      <x:c r="H12" s="25"/>
    </x:row>
    <x:row r="13" ht="52" customHeight="1">
      <x:c r="A13" s="25" t="str">
        <x:v>3</x:v>
      </x:c>
      <x:c r="B13" s="25" t="str">
        <x:v>warning处理</x:v>
      </x:c>
      <x:c r="C13" s="25"/>
      <x:c r="D13" s="25" t="str">
        <x:v>warning触发边界说明和G2复核，不自动扣分。</x:v>
      </x:c>
      <x:c r="E13" s="25"/>
      <x:c r="F13" s="25"/>
      <x:c r="G13" s="25"/>
      <x:c r="H13" s="25"/>
    </x:row>
    <x:row r="14" ht="52" customHeight="1">
      <x:c r="A14" s="25" t="str">
        <x:v>4</x:v>
      </x:c>
      <x:c r="B14" s="25" t="str">
        <x:v>闸门优先</x:v>
      </x:c>
      <x:c r="C14" s="25"/>
      <x:c r="D14" s="25" t="str">
        <x:v>G0/G1/G2决定案例角色；G3禁止单指标和总分选择。</x:v>
      </x:c>
      <x:c r="E14" s="25"/>
      <x:c r="F14" s="25"/>
      <x:c r="G14" s="25"/>
      <x:c r="H14" s="25"/>
    </x:row>
    <x:row r="15" ht="52" customHeight="1">
      <x:c r="A15" s="26" t="str">
        <x:v>5</x:v>
      </x:c>
      <x:c r="B15" s="26" t="str">
        <x:v>组合后置</x:v>
      </x:c>
      <x:c r="C15" s="26"/>
      <x:c r="D15" s="26" t="str">
        <x:v>S6只能比较候选组合，Stage6B不输出最终代表性名单。</x:v>
      </x:c>
      <x:c r="E15" s="26"/>
      <x:c r="F15" s="26"/>
      <x:c r="G15" s="26"/>
      <x:c r="H15" s="26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 ht="24" customHeight="1">
      <x:c r="A17" s="9" t="str">
        <x:v>初评资格结果（不是最终入选）</x:v>
      </x:c>
      <x:c r="B17" s="9"/>
      <x:c r="C17" s="9"/>
      <x:c r="D17" s="9"/>
      <x:c r="E17" s="9"/>
      <x:c r="F17" s="9"/>
      <x:c r="G17" s="9"/>
      <x:c r="H17" s="9"/>
    </x:row>
    <x:row r="18" ht="58" customHeight="1">
      <x:c r="A18" s="27" t="str">
        <x:v>ELIGIBLE</x:v>
      </x:c>
      <x:c r="B18" s="27" t="str">
        <x:v>2家公司；数据链较完整，可进入组合比较</x:v>
      </x:c>
      <x:c r="C18" s="27"/>
      <x:c r="D18" s="27"/>
      <x:c r="E18" s="27" t="str">
        <x:v>ELIGIBLE_WITH_LIMITATIONS</x:v>
      </x:c>
      <x:c r="F18" s="27" t="str">
        <x:v>3家公司；需披露/证据限制说明</x:v>
      </x:c>
      <x:c r="G18" s="27"/>
      <x:c r="H18" s="27"/>
    </x:row>
    <x:row r="19" ht="58" customHeight="1">
      <x:c r="A19" s="27" t="str">
        <x:v>ELIGIBLE_WITH_WARNINGS</x:v>
      </x:c>
      <x:c r="B19" s="27" t="str">
        <x:v>2家公司；主体或路径桥接警告需保留</x:v>
      </x:c>
      <x:c r="C19" s="27"/>
      <x:c r="D19" s="27"/>
      <x:c r="E19" s="27" t="str">
        <x:v>METHOD_BOUNDARY_ONLY</x:v>
      </x:c>
      <x:c r="F19" s="27" t="str">
        <x:v>1家公司；只作为缺失/披露方法案例</x:v>
      </x:c>
      <x:c r="G19" s="27"/>
      <x:c r="H19" s="27"/>
    </x:row>
    <x:row r="20" ht="58" customHeight="1">
      <x:c r="A20" s="27" t="str">
        <x:v>S1未评分</x:v>
      </x:c>
      <x:c r="B20" s="27" t="str">
        <x:v>影石创新1个单元；CV003不可计算</x:v>
      </x:c>
      <x:c r="C20" s="27"/>
      <x:c r="D20" s="27"/>
      <x:c r="E20" s="27" t="str">
        <x:v>S6</x:v>
      </x:c>
      <x:c r="F20" s="27" t="str">
        <x:v>8家公司均为PENDING_STAGE6C</x:v>
      </x:c>
      <x:c r="G20" s="27"/>
      <x:c r="H20" s="27"/>
    </x:row>
    <x:row r="21" ht="58" customHeight="1">
      <x:c r="A21" s="28" t="str">
        <x:v>禁止结论</x:v>
      </x:c>
      <x:c r="B21" s="28" t="str">
        <x:v>不得据此宣称公司好坏、投资价值或总体代表性</x:v>
      </x:c>
      <x:c r="C21" s="28"/>
      <x:c r="D21" s="28"/>
      <x:c r="E21" s="28" t="str">
        <x:v>下一阶段</x:v>
      </x:c>
      <x:c r="F21" s="28" t="str">
        <x:v>比较候选组合的互补性与覆盖</x:v>
      </x:c>
      <x:c r="G21" s="28"/>
      <x:c r="H21" s="28"/>
    </x:row>
  </x:sheetData>
  <x:mergeCells>
    <x:mergeCell ref="A1:H1"/>
    <x:mergeCell ref="A2:H2"/>
    <x:mergeCell ref="A4:H4"/>
    <x:mergeCell ref="A10:H10"/>
    <x:mergeCell ref="B11:C11"/>
    <x:mergeCell ref="D11:H11"/>
    <x:mergeCell ref="B12:C12"/>
    <x:mergeCell ref="D12:H12"/>
    <x:mergeCell ref="B13:C13"/>
    <x:mergeCell ref="D13:H13"/>
    <x:mergeCell ref="B14:C14"/>
    <x:mergeCell ref="D14:H14"/>
    <x:mergeCell ref="B15:C15"/>
    <x:mergeCell ref="D15:H15"/>
    <x:mergeCell ref="A17:H17"/>
    <x:mergeCell ref="B18:D18"/>
    <x:mergeCell ref="F18:H18"/>
    <x:mergeCell ref="B19:D19"/>
    <x:mergeCell ref="F19:H19"/>
    <x:mergeCell ref="B20:D20"/>
    <x:mergeCell ref="F20:H20"/>
    <x:mergeCell ref="B21:D21"/>
    <x:mergeCell ref="F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54" hidden="0" customWidth="1"/>
    <x:col min="5" max="5" width="36" hidden="0" customWidth="1"/>
    <x:col min="6" max="6" width="38" hidden="0" customWidth="1"/>
    <x:col min="7" max="7" width="44" hidden="0" customWidth="1"/>
    <x:col min="8" max="8" width="50" hidden="0" customWidth="1"/>
    <x:col min="9" max="9" width="62" hidden="0" customWidth="1"/>
    <x:col min="10" max="10" width="54" hidden="0" customWidth="1"/>
  </x:cols>
  <x:sheetData>
    <x:row r="1" ht="32" customHeight="1">
      <x:c r="A1" s="3" t="str">
        <x:v>评分锚点与闸门规则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7" t="str">
        <x:v>直接继承Stage5D；Stage6B仅把锚点应用到八家公司。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2" customHeight="1">
      <x:c r="A4" s="40" t="str">
        <x:v>轴ID</x:v>
      </x:c>
      <x:c r="B4" s="41" t="str">
        <x:v>评价轴</x:v>
      </x:c>
      <x:c r="C4" s="41" t="str">
        <x:v>候选变量</x:v>
      </x:c>
      <x:c r="D4" s="41" t="str">
        <x:v>评价问题</x:v>
      </x:c>
      <x:c r="E4" s="41" t="str">
        <x:v>0分</x:v>
      </x:c>
      <x:c r="F4" s="41" t="str">
        <x:v>1分</x:v>
      </x:c>
      <x:c r="G4" s="41" t="str">
        <x:v>2分</x:v>
      </x:c>
      <x:c r="H4" s="41" t="str">
        <x:v>强制伴随</x:v>
      </x:c>
      <x:c r="I4" s="41" t="str">
        <x:v>解释边界</x:v>
      </x:c>
      <x:c r="J4" s="42" t="str">
        <x:v>Stage6B规则</x:v>
      </x:c>
    </x:row>
    <x:row r="5" ht="104" customHeight="1">
      <x:c r="A5" s="47" t="str">
        <x:v>S1</x:v>
      </x:c>
      <x:c r="B5" s="47" t="str">
        <x:v>融资画像差异</x:v>
      </x:c>
      <x:c r="C5" s="47" t="str">
        <x:v>CV002、CV003、CV005、CV007、CV008</x:v>
      </x:c>
      <x:c r="D5" s="47" t="str">
        <x:v>融资频度、规模与集中度是否形成可解释差异</x:v>
      </x:c>
      <x:c r="E5" s="47" t="str">
        <x:v>信息不足或仅状态差异</x:v>
      </x:c>
      <x:c r="F5" s="47" t="str">
        <x:v>一个可解释维度</x:v>
      </x:c>
      <x:c r="G5" s="47" t="str">
        <x:v>两个及以上相互印证的差异</x:v>
      </x:c>
      <x:c r="H5" s="47" t="str">
        <x:v>CV027、CV028、CV030、CV032</x:v>
      </x:c>
      <x:c r="I5" s="47" t="str">
        <x:v>金额下限不是企业价值或融资能力</x:v>
      </x:c>
      <x:c r="J5" s="47" t="str">
        <x:v>不求和；分数仅表达该轴的信息丰富度/可审计程度。</x:v>
      </x:c>
    </x:row>
    <x:row r="6" ht="104" customHeight="1">
      <x:c r="A6" s="47" t="str">
        <x:v>S2</x:v>
      </x:c>
      <x:c r="B6" s="47" t="str">
        <x:v>PE/VC参与与路径独特性</x:v>
      </x:c>
      <x:c r="C6" s="47" t="str">
        <x:v>CV011—CV019</x:v>
      </x:c>
      <x:c r="D6" s="47" t="str">
        <x:v>是否存在不同的参与深度、进入时点或直接/间接路径</x:v>
      </x:c>
      <x:c r="E6" s="47" t="str">
        <x:v>无可识别差异</x:v>
      </x:c>
      <x:c r="F6" s="47" t="str">
        <x:v>参与结构有一项差异</x:v>
      </x:c>
      <x:c r="G6" s="47" t="str">
        <x:v>参与深度与路径形成清晰组合</x:v>
      </x:c>
      <x:c r="H6" s="47" t="str">
        <x:v>法律主体口径、路径证据、适用N</x:v>
      </x:c>
      <x:c r="I6" s="47" t="str">
        <x:v>未确认不等于绝对不存在</x:v>
      </x:c>
      <x:c r="J6" s="47" t="str">
        <x:v>不求和；分数仅表达该轴的信息丰富度/可审计程度。</x:v>
      </x:c>
    </x:row>
    <x:row r="7" ht="104" customHeight="1">
      <x:c r="A7" s="47" t="str">
        <x:v>S3</x:v>
      </x:c>
      <x:c r="B7" s="47" t="str">
        <x:v>参与主体结构丰富度</x:v>
      </x:c>
      <x:c r="C7" s="47" t="str">
        <x:v>CV020—CV022</x:v>
      </x:c>
      <x:c r="D7" s="47" t="str">
        <x:v>直接主体、投资方广度与密度是否提供独立结构信息</x:v>
      </x:c>
      <x:c r="E7" s="47" t="str">
        <x:v>信息有限</x:v>
      </x:c>
      <x:c r="F7" s="47" t="str">
        <x:v>一个结构维度清晰</x:v>
      </x:c>
      <x:c r="G7" s="47" t="str">
        <x:v>多个维度清晰且口径可复核</x:v>
      </x:c>
      <x:c r="H7" s="47" t="str">
        <x:v>CV002与角色映射警告</x:v>
      </x:c>
      <x:c r="I7" s="47" t="str">
        <x:v>主体多不等于治理优或融资质量高</x:v>
      </x:c>
      <x:c r="J7" s="47" t="str">
        <x:v>不求和；分数仅表达该轴的信息丰富度/可审计程度。</x:v>
      </x:c>
    </x:row>
    <x:row r="8" ht="104" customHeight="1">
      <x:c r="A8" s="47" t="str">
        <x:v>S4</x:v>
      </x:c>
      <x:c r="B8" s="47" t="str">
        <x:v>一级/二级交易差异</x:v>
      </x:c>
      <x:c r="C8" s="47" t="str">
        <x:v>CV024—CV026</x:v>
      </x:c>
      <x:c r="D8" s="47" t="str">
        <x:v>是否能形成发行人融资与股东转让的对照</x:v>
      </x:c>
      <x:c r="E8" s="47" t="str">
        <x:v>无二级交易或不可解释</x:v>
      </x:c>
      <x:c r="F8" s="47" t="str">
        <x:v>交易数可用</x:v>
      </x:c>
      <x:c r="G8" s="47" t="str">
        <x:v>交易数与金额/比值形成可审计案例</x:v>
      </x:c>
      <x:c r="H8" s="47" t="str">
        <x:v>CV003、CV025及双方金额状态</x:v>
      </x:c>
      <x:c r="I8" s="47" t="str">
        <x:v>转让对价不得计入公司融资</x:v>
      </x:c>
      <x:c r="J8" s="47" t="str">
        <x:v>不求和；分数仅表达该轴的信息丰富度/可审计程度。</x:v>
      </x:c>
    </x:row>
    <x:row r="9" ht="104" customHeight="1">
      <x:c r="A9" s="48" t="str">
        <x:v>S5</x:v>
      </x:c>
      <x:c r="B9" s="48" t="str">
        <x:v>数据质量与证据完备性</x:v>
      </x:c>
      <x:c r="C9" s="48" t="str">
        <x:v>CV027—CV032</x:v>
      </x:c>
      <x:c r="D9" s="48" t="str">
        <x:v>所选实体变量是否有足够覆盖、证据和边界说明</x:v>
      </x:c>
      <x:c r="E9" s="48" t="str">
        <x:v>关键链条不可审计</x:v>
      </x:c>
      <x:c r="F9" s="48" t="str">
        <x:v>可用但有显著限制</x:v>
      </x:c>
      <x:c r="G9" s="48" t="str">
        <x:v>关键链条完整且限制透明</x:v>
      </x:c>
      <x:c r="H9" s="48" t="str">
        <x:v>质量变量本身</x:v>
      </x:c>
      <x:c r="I9" s="48" t="str">
        <x:v>只决定解释强度，不评价公司质量</x:v>
      </x:c>
      <x:c r="J9" s="48" t="str">
        <x:v>不求和；分数仅表达该轴的信息丰富度/可审计程度。</x:v>
      </x:c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</x:row>
    <x:row r="11" ht="24" customHeight="1">
      <x:c r="A11" s="9" t="str">
        <x:v>闸门决策语义</x:v>
      </x:c>
      <x:c r="B11" s="9"/>
      <x:c r="C11" s="9"/>
      <x:c r="D11" s="9"/>
      <x:c r="E11" s="9"/>
      <x:c r="F11" s="9"/>
      <x:c r="G11" s="9"/>
      <x:c r="H11" s="9"/>
      <x:c r="I11" s="9"/>
      <x:c r="J11" s="9"/>
    </x:row>
    <x:row r="12" ht="32" customHeight="1">
      <x:c r="A12" s="40" t="str">
        <x:v>闸门</x:v>
      </x:c>
      <x:c r="B12" s="41" t="str">
        <x:v>决策类别</x:v>
      </x:c>
      <x:c r="C12" s="41" t="str">
        <x:v>含义</x:v>
      </x:c>
      <x:c r="D12" s="42" t="str">
        <x:v>后续处理</x:v>
      </x:c>
      <x:c r="E12" s="10"/>
      <x:c r="F12" s="10"/>
      <x:c r="G12" s="10"/>
      <x:c r="H12" s="10"/>
      <x:c r="I12" s="10"/>
      <x:c r="J12" s="10"/>
    </x:row>
    <x:row r="13" ht="68" customHeight="1">
      <x:c r="A13" s="47" t="str">
        <x:v>G0</x:v>
      </x:c>
      <x:c r="B13" s="47" t="str">
        <x:v>PASS_CORE / LIMITED_METHOD_ONLY</x:v>
      </x:c>
      <x:c r="C13" s="47" t="str">
        <x:v>核心变量可计算，或只能作为方法边界</x:v>
      </x:c>
      <x:c r="D13" s="47" t="str">
        <x:v>LIMITED不得作为核心实质案例</x:v>
      </x:c>
      <x:c r="E13" s="10"/>
      <x:c r="F13" s="10"/>
      <x:c r="G13" s="10"/>
      <x:c r="H13" s="10"/>
      <x:c r="I13" s="10"/>
      <x:c r="J13" s="10"/>
    </x:row>
    <x:row r="14" ht="68" customHeight="1">
      <x:c r="A14" s="47" t="str">
        <x:v>G1</x:v>
      </x:c>
      <x:c r="B14" s="47" t="str">
        <x:v>PASS / PASS_CONTRAST / BOUNDARY_ONLY</x:v>
      </x:c>
      <x:c r="C14" s="47" t="str">
        <x:v>存在实质差异、对照差异或仅边界意义</x:v>
      </x:c>
      <x:c r="D14" s="47" t="str">
        <x:v>BOUNDARY_ONLY不进入实质组合</x:v>
      </x:c>
      <x:c r="E14" s="10"/>
      <x:c r="F14" s="10"/>
      <x:c r="G14" s="10"/>
      <x:c r="H14" s="10"/>
      <x:c r="I14" s="10"/>
      <x:c r="J14" s="10"/>
    </x:row>
    <x:row r="15" ht="68" customHeight="1">
      <x:c r="A15" s="47" t="str">
        <x:v>G2</x:v>
      </x:c>
      <x:c r="B15" s="47" t="str">
        <x:v>PASS / WITH_WARNING / WITH_LIMITATION / LIMITED_BOUNDARY</x:v>
      </x:c>
      <x:c r="C15" s="47" t="str">
        <x:v>证据可审计程度与限制</x:v>
      </x:c>
      <x:c r="D15" s="47" t="str">
        <x:v>限制必须进入案例说明</x:v>
      </x:c>
      <x:c r="E15" s="10"/>
      <x:c r="F15" s="10"/>
      <x:c r="G15" s="10"/>
      <x:c r="H15" s="10"/>
      <x:c r="I15" s="10"/>
      <x:c r="J15" s="10"/>
    </x:row>
    <x:row r="16" ht="68" customHeight="1">
      <x:c r="A16" s="48" t="str">
        <x:v>G3</x:v>
      </x:c>
      <x:c r="B16" s="48" t="str">
        <x:v>PASS_RULE_APPLIED</x:v>
      </x:c>
      <x:c r="C16" s="48" t="str">
        <x:v>未使用单指标、总分或排名</x:v>
      </x:c>
      <x:c r="D16" s="48" t="str">
        <x:v>所有公司均必须满足</x:v>
      </x:c>
      <x:c r="E16" s="10"/>
      <x:c r="F16" s="10"/>
      <x:c r="G16" s="10"/>
      <x:c r="H16" s="10"/>
      <x:c r="I16" s="10"/>
      <x:c r="J16" s="10"/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0" hidden="0" customWidth="1"/>
    <x:col min="5" max="5" width="18" hidden="0" customWidth="1"/>
    <x:col min="6" max="6" width="10" hidden="0" customWidth="1"/>
    <x:col min="7" max="7" width="18" hidden="0" customWidth="1"/>
    <x:col min="8" max="8" width="10" hidden="0" customWidth="1"/>
    <x:col min="9" max="9" width="18" hidden="0" customWidth="1"/>
    <x:col min="10" max="10" width="10" hidden="0" customWidth="1"/>
    <x:col min="11" max="11" width="18" hidden="0" customWidth="1"/>
    <x:col min="12" max="12" width="10" hidden="0" customWidth="1"/>
    <x:col min="13" max="13" width="18" hidden="0" customWidth="1"/>
    <x:col min="14" max="14" width="20" hidden="0" customWidth="1"/>
    <x:col min="15" max="15" width="74" hidden="0" customWidth="1"/>
    <x:col min="16" max="16" width="58" hidden="0" customWidth="1"/>
    <x:col min="17" max="17" width="22" hidden="0" customWidth="1"/>
    <x:col min="18" max="18" width="28" hidden="0" customWidth="1"/>
    <x:col min="19" max="19" width="24" hidden="0" customWidth="1"/>
    <x:col min="20" max="20" width="32" hidden="0" customWidth="1"/>
    <x:col min="21" max="21" width="66" hidden="0" customWidth="1"/>
  </x:cols>
  <x:sheetData>
    <x:row r="1" ht="32" customHeight="1">
      <x:c r="A1" s="3" t="str">
        <x:v>八家公司逐轴初评矩阵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44" customHeight="1">
      <x:c r="A2" s="7" t="str">
        <x:v>S1—S5分别判断；N列仅显示轴向量，不求和。影石创新S1保持空值。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 ht="32" customHeight="1">
      <x:c r="A4" s="40" t="str">
        <x:v>公司ID</x:v>
      </x:c>
      <x:c r="B4" s="41" t="str">
        <x:v>公司名称</x:v>
      </x:c>
      <x:c r="C4" s="41" t="str">
        <x:v>G0</x:v>
      </x:c>
      <x:c r="D4" s="41" t="str">
        <x:v>S1</x:v>
      </x:c>
      <x:c r="E4" s="41" t="str">
        <x:v>S1状态</x:v>
      </x:c>
      <x:c r="F4" s="41" t="str">
        <x:v>S2</x:v>
      </x:c>
      <x:c r="G4" s="41" t="str">
        <x:v>S2状态</x:v>
      </x:c>
      <x:c r="H4" s="41" t="str">
        <x:v>S3</x:v>
      </x:c>
      <x:c r="I4" s="41" t="str">
        <x:v>S3状态</x:v>
      </x:c>
      <x:c r="J4" s="41" t="str">
        <x:v>S4</x:v>
      </x:c>
      <x:c r="K4" s="41" t="str">
        <x:v>S4状态</x:v>
      </x:c>
      <x:c r="L4" s="41" t="str">
        <x:v>S5</x:v>
      </x:c>
      <x:c r="M4" s="41" t="str">
        <x:v>S5状态</x:v>
      </x:c>
      <x:c r="N4" s="41" t="str">
        <x:v>轴向量</x:v>
      </x:c>
      <x:c r="O4" s="41" t="str">
        <x:v>差异画像</x:v>
      </x:c>
      <x:c r="P4" s="41" t="str">
        <x:v>质量/证据输入</x:v>
      </x:c>
      <x:c r="Q4" s="41" t="str">
        <x:v>G1</x:v>
      </x:c>
      <x:c r="R4" s="41" t="str">
        <x:v>G2</x:v>
      </x:c>
      <x:c r="S4" s="41" t="str">
        <x:v>G3</x:v>
      </x:c>
      <x:c r="T4" s="41" t="str">
        <x:v>Stage6B资格</x:v>
      </x:c>
      <x:c r="U4" s="42" t="str">
        <x:v>解释边界</x:v>
      </x:c>
    </x:row>
    <x:row r="5" ht="116" customHeight="1">
      <x:c r="A5" s="47" t="str">
        <x:v>001282</x:v>
      </x:c>
      <x:c r="B5" s="47" t="str">
        <x:v>三联锻造</x:v>
      </x:c>
      <x:c r="C5" s="47" t="str">
        <x:v>PASS_CORE</x:v>
      </x:c>
      <x:c r="D5" s="25" t="n">
        <x:v>1</x:v>
      </x:c>
      <x:c r="E5" s="25" t="str">
        <x:v>SCORED</x:v>
      </x:c>
      <x:c r="F5" s="25" t="n">
        <x:v>0</x:v>
      </x:c>
      <x:c r="G5" s="25" t="str">
        <x:v>SCORED</x:v>
      </x:c>
      <x:c r="H5" s="25" t="n">
        <x:v>0</x:v>
      </x:c>
      <x:c r="I5" s="25" t="str">
        <x:v>SCORED</x:v>
      </x:c>
      <x:c r="J5" s="25" t="n">
        <x:v>0</x:v>
      </x:c>
      <x:c r="K5" s="25" t="str">
        <x:v>SCORED</x:v>
      </x:c>
      <x:c r="L5" s="25" t="n">
        <x:v>1</x:v>
      </x:c>
      <x:c r="M5" s="25" t="str">
        <x:v>SCORED</x:v>
      </x:c>
      <x:c r="N5" s="47" t="str">
        <x:f>IF(D5="","NA",D5)&amp;"|"&amp;F5&amp;"|"&amp;H5&amp;"|"&amp;J5&amp;"|"&amp;L5</x:f>
        <x:v>1|0|0|0|1</x:v>
      </x:c>
      <x:c r="O5" s="47" t="str">
        <x:v>单轮、低规模、无确认PE/VC、无转让；适合作为简单融资结构对照，但披露和计算来源限制明显。</x:v>
      </x:c>
      <x:c r="P5" s="47" t="str">
        <x:v>CV031=2[VALID]; CV032=1; warning=2。</x:v>
      </x:c>
      <x:c r="Q5" s="47" t="str">
        <x:v>PASS_CONTRAST</x:v>
      </x:c>
      <x:c r="R5" s="47" t="str">
        <x:v>PASS_WITH_LIMITATION</x:v>
      </x:c>
      <x:c r="S5" s="47" t="str">
        <x:v>PASS_RULE_APPLIED</x:v>
      </x:c>
      <x:c r="T5" s="47" t="str">
        <x:v>ELIGIBLE_WITH_LIMITATIONS</x:v>
      </x:c>
      <x:c r="U5" s="47" t="str">
        <x:v>初评只用于Stage6C组合比较；不是公司质量、投资价值或最终代表性结论。</x:v>
      </x:c>
    </x:row>
    <x:row r="6" ht="116" customHeight="1">
      <x:c r="A6" s="47" t="str">
        <x:v>301563</x:v>
      </x:c>
      <x:c r="B6" s="47" t="str">
        <x:v>云汉芯城</x:v>
      </x:c>
      <x:c r="C6" s="47" t="str">
        <x:v>PASS_CORE</x:v>
      </x:c>
      <x:c r="D6" s="25" t="n">
        <x:v>2</x:v>
      </x:c>
      <x:c r="E6" s="25" t="str">
        <x:v>SCORED</x:v>
      </x:c>
      <x:c r="F6" s="25" t="n">
        <x:v>2</x:v>
      </x:c>
      <x:c r="G6" s="25" t="str">
        <x:v>SCORED</x:v>
      </x:c>
      <x:c r="H6" s="25" t="n">
        <x:v>2</x:v>
      </x:c>
      <x:c r="I6" s="25" t="str">
        <x:v>SCORED</x:v>
      </x:c>
      <x:c r="J6" s="25" t="n">
        <x:v>2</x:v>
      </x:c>
      <x:c r="K6" s="25" t="str">
        <x:v>SCORED</x:v>
      </x:c>
      <x:c r="L6" s="25" t="n">
        <x:v>1</x:v>
      </x:c>
      <x:c r="M6" s="25" t="str">
        <x:v>SCORED</x:v>
      </x:c>
      <x:c r="N6" s="47" t="str">
        <x:f>IF(D6="","NA",D6)&amp;"|"&amp;F6&amp;"|"&amp;H6&amp;"|"&amp;J6&amp;"|"&amp;L6</x:f>
        <x:v>2|2|2|2|1</x:v>
      </x:c>
      <x:c r="O6" s="47" t="str">
        <x:v>多轮、PE/VC参与深且路径多样、主体结构广、转让活跃；实体信息丰富但金额覆盖和披露限制明显。</x:v>
      </x:c>
      <x:c r="P6" s="47" t="str">
        <x:v>CV031=2.8571[VALID]; CV032=1; warning=2。</x:v>
      </x:c>
      <x:c r="Q6" s="47" t="str">
        <x:v>PASS</x:v>
      </x:c>
      <x:c r="R6" s="47" t="str">
        <x:v>PASS_WITH_LIMITATION</x:v>
      </x:c>
      <x:c r="S6" s="47" t="str">
        <x:v>PASS_RULE_APPLIED</x:v>
      </x:c>
      <x:c r="T6" s="47" t="str">
        <x:v>ELIGIBLE_WITH_LIMITATIONS</x:v>
      </x:c>
      <x:c r="U6" s="47" t="str">
        <x:v>初评只用于Stage6C组合比较；不是公司质量、投资价值或最终代表性结论。</x:v>
      </x:c>
    </x:row>
    <x:row r="7" ht="116" customHeight="1">
      <x:c r="A7" s="47" t="str">
        <x:v>301581</x:v>
      </x:c>
      <x:c r="B7" s="47" t="str">
        <x:v>黄山谷捷</x:v>
      </x:c>
      <x:c r="C7" s="47" t="str">
        <x:v>PASS_CORE</x:v>
      </x:c>
      <x:c r="D7" s="25" t="n">
        <x:v>2</x:v>
      </x:c>
      <x:c r="E7" s="25" t="str">
        <x:v>SCORED</x:v>
      </x:c>
      <x:c r="F7" s="25" t="n">
        <x:v>0</x:v>
      </x:c>
      <x:c r="G7" s="25" t="str">
        <x:v>SCORED</x:v>
      </x:c>
      <x:c r="H7" s="25" t="n">
        <x:v>1</x:v>
      </x:c>
      <x:c r="I7" s="25" t="str">
        <x:v>SCORED</x:v>
      </x:c>
      <x:c r="J7" s="25" t="n">
        <x:v>1</x:v>
      </x:c>
      <x:c r="K7" s="25" t="str">
        <x:v>SCORED</x:v>
      </x:c>
      <x:c r="L7" s="25" t="n">
        <x:v>1</x:v>
      </x:c>
      <x:c r="M7" s="25" t="str">
        <x:v>SCORED</x:v>
      </x:c>
      <x:c r="N7" s="47" t="str">
        <x:f>IF(D7="","NA",D7)&amp;"|"&amp;F7&amp;"|"&amp;H7&amp;"|"&amp;J7&amp;"|"&amp;L7</x:f>
        <x:v>2|0|1|1|1</x:v>
      </x:c>
      <x:c r="O7" s="47" t="str">
        <x:v>两轮中等规模且高度集中、无确认PE/VC、存在一次零对价转让；适合作为非PE/VC与交易边界对照。</x:v>
      </x:c>
      <x:c r="P7" s="47" t="str">
        <x:v>CV031=1[VALID]; CV032=0; warning=2。</x:v>
      </x:c>
      <x:c r="Q7" s="47" t="str">
        <x:v>PASS</x:v>
      </x:c>
      <x:c r="R7" s="47" t="str">
        <x:v>PASS</x:v>
      </x:c>
      <x:c r="S7" s="47" t="str">
        <x:v>PASS_RULE_APPLIED</x:v>
      </x:c>
      <x:c r="T7" s="47" t="str">
        <x:v>ELIGIBLE</x:v>
      </x:c>
      <x:c r="U7" s="47" t="str">
        <x:v>初评只用于Stage6C组合比较；不是公司质量、投资价值或最终代表性结论。</x:v>
      </x:c>
    </x:row>
    <x:row r="8" ht="116" customHeight="1">
      <x:c r="A8" s="47" t="str">
        <x:v>603418</x:v>
      </x:c>
      <x:c r="B8" s="47" t="str">
        <x:v>友升股份</x:v>
      </x:c>
      <x:c r="C8" s="47" t="str">
        <x:v>PASS_CORE</x:v>
      </x:c>
      <x:c r="D8" s="25" t="n">
        <x:v>2</x:v>
      </x:c>
      <x:c r="E8" s="25" t="str">
        <x:v>SCORED</x:v>
      </x:c>
      <x:c r="F8" s="25" t="n">
        <x:v>1</x:v>
      </x:c>
      <x:c r="G8" s="25" t="str">
        <x:v>SCORED</x:v>
      </x:c>
      <x:c r="H8" s="25" t="n">
        <x:v>1</x:v>
      </x:c>
      <x:c r="I8" s="25" t="str">
        <x:v>SCORED</x:v>
      </x:c>
      <x:c r="J8" s="25" t="n">
        <x:v>0</x:v>
      </x:c>
      <x:c r="K8" s="25" t="str">
        <x:v>SCORED</x:v>
      </x:c>
      <x:c r="L8" s="25" t="n">
        <x:v>1</x:v>
      </x:c>
      <x:c r="M8" s="25" t="str">
        <x:v>SCORED</x:v>
      </x:c>
      <x:c r="N8" s="47" t="str">
        <x:f>IF(D8="","NA",D8)&amp;"|"&amp;F8&amp;"|"&amp;H8&amp;"|"&amp;J8&amp;"|"&amp;L8</x:f>
        <x:v>2|1|1|0|1</x:v>
      </x:c>
      <x:c r="O8" s="47" t="str">
        <x:v>两轮高规模且集中、PE/VC较晚直接进入、无转让；主体桥接警告较多。</x:v>
      </x:c>
      <x:c r="P8" s="47" t="str">
        <x:v>CV031=1.5[VALID]; CV032=0; warning=4。</x:v>
      </x:c>
      <x:c r="Q8" s="47" t="str">
        <x:v>PASS</x:v>
      </x:c>
      <x:c r="R8" s="47" t="str">
        <x:v>PASS_WITH_WARNING</x:v>
      </x:c>
      <x:c r="S8" s="47" t="str">
        <x:v>PASS_RULE_APPLIED</x:v>
      </x:c>
      <x:c r="T8" s="47" t="str">
        <x:v>ELIGIBLE_WITH_WARNINGS</x:v>
      </x:c>
      <x:c r="U8" s="47" t="str">
        <x:v>初评只用于Stage6C组合比较；不是公司质量、投资价值或最终代表性结论。</x:v>
      </x:c>
    </x:row>
    <x:row r="9" ht="116" customHeight="1">
      <x:c r="A9" s="47" t="str">
        <x:v>688758</x:v>
      </x:c>
      <x:c r="B9" s="47" t="str">
        <x:v>赛分科技</x:v>
      </x:c>
      <x:c r="C9" s="47" t="str">
        <x:v>PASS_CORE</x:v>
      </x:c>
      <x:c r="D9" s="25" t="n">
        <x:v>2</x:v>
      </x:c>
      <x:c r="E9" s="25" t="str">
        <x:v>SCORED</x:v>
      </x:c>
      <x:c r="F9" s="25" t="n">
        <x:v>0</x:v>
      </x:c>
      <x:c r="G9" s="25" t="str">
        <x:v>SCORED</x:v>
      </x:c>
      <x:c r="H9" s="25" t="n">
        <x:v>1</x:v>
      </x:c>
      <x:c r="I9" s="25" t="str">
        <x:v>SCORED</x:v>
      </x:c>
      <x:c r="J9" s="25" t="n">
        <x:v>2</x:v>
      </x:c>
      <x:c r="K9" s="25" t="str">
        <x:v>SCORED</x:v>
      </x:c>
      <x:c r="L9" s="25" t="n">
        <x:v>2</x:v>
      </x:c>
      <x:c r="M9" s="25" t="str">
        <x:v>SCORED</x:v>
      </x:c>
      <x:c r="N9" s="47" t="str">
        <x:f>IF(D9="","NA",D9)&amp;"|"&amp;F9&amp;"|"&amp;H9&amp;"|"&amp;J9&amp;"|"&amp;L9</x:f>
        <x:v>2|0|1|2|2</x:v>
      </x:c>
      <x:c r="O9" s="47" t="str">
        <x:v>三轮高规模、无确认PE/VC、有可计算二级交易且数据质量较好。</x:v>
      </x:c>
      <x:c r="P9" s="47" t="str">
        <x:v>CV031=1[VALID]; CV032=0; warning=2。</x:v>
      </x:c>
      <x:c r="Q9" s="47" t="str">
        <x:v>PASS</x:v>
      </x:c>
      <x:c r="R9" s="47" t="str">
        <x:v>PASS</x:v>
      </x:c>
      <x:c r="S9" s="47" t="str">
        <x:v>PASS_RULE_APPLIED</x:v>
      </x:c>
      <x:c r="T9" s="47" t="str">
        <x:v>ELIGIBLE</x:v>
      </x:c>
      <x:c r="U9" s="47" t="str">
        <x:v>初评只用于Stage6C组合比较；不是公司质量、投资价值或最终代表性结论。</x:v>
      </x:c>
    </x:row>
    <x:row r="10" ht="116" customHeight="1">
      <x:c r="A10" s="47" t="str">
        <x:v>688775</x:v>
      </x:c>
      <x:c r="B10" s="47" t="str">
        <x:v>影石创新</x:v>
      </x:c>
      <x:c r="C10" s="47" t="str">
        <x:v>LIMITED_METHOD_ONLY</x:v>
      </x:c>
      <x:c r="D10" s="25"/>
      <x:c r="E10" s="25" t="str">
        <x:v>NOT_SCORED</x:v>
      </x:c>
      <x:c r="F10" s="25" t="n">
        <x:v>0</x:v>
      </x:c>
      <x:c r="G10" s="25" t="str">
        <x:v>SCORED</x:v>
      </x:c>
      <x:c r="H10" s="25" t="n">
        <x:v>0</x:v>
      </x:c>
      <x:c r="I10" s="25" t="str">
        <x:v>SCORED</x:v>
      </x:c>
      <x:c r="J10" s="25" t="n">
        <x:v>1</x:v>
      </x:c>
      <x:c r="K10" s="25" t="str">
        <x:v>SCORED</x:v>
      </x:c>
      <x:c r="L10" s="25" t="n">
        <x:v>0</x:v>
      </x:c>
      <x:c r="M10" s="25" t="str">
        <x:v>SCORED</x:v>
      </x:c>
      <x:c r="N10" s="47" t="str">
        <x:f>IF(D10="","NA",D10)&amp;"|"&amp;F10&amp;"|"&amp;H10&amp;"|"&amp;J10&amp;"|"&amp;L10</x:f>
        <x:v>NA|0|0|1|0</x:v>
      </x:c>
      <x:c r="O10" s="47" t="str">
        <x:v>融资历史不可重构但存在股权转让；只能作为披露、缺失和方法边界案例。</x:v>
      </x:c>
      <x:c r="P10" s="47" t="str">
        <x:v>CV031=null[STRUCTURAL_NA]; CV032=1; warning=1。</x:v>
      </x:c>
      <x:c r="Q10" s="47" t="str">
        <x:v>BOUNDARY_ONLY</x:v>
      </x:c>
      <x:c r="R10" s="47" t="str">
        <x:v>LIMITED_BOUNDARY</x:v>
      </x:c>
      <x:c r="S10" s="47" t="str">
        <x:v>PASS_RULE_APPLIED</x:v>
      </x:c>
      <x:c r="T10" s="47" t="str">
        <x:v>METHOD_BOUNDARY_ONLY</x:v>
      </x:c>
      <x:c r="U10" s="47" t="str">
        <x:v>初评只用于Stage6C组合比较；不是公司质量、投资价值或最终代表性结论。</x:v>
      </x:c>
    </x:row>
    <x:row r="11" ht="116" customHeight="1">
      <x:c r="A11" s="47" t="str">
        <x:v>920100</x:v>
      </x:c>
      <x:c r="B11" s="47" t="str">
        <x:v>三协电机</x:v>
      </x:c>
      <x:c r="C11" s="47" t="str">
        <x:v>PASS_CORE</x:v>
      </x:c>
      <x:c r="D11" s="25" t="n">
        <x:v>2</x:v>
      </x:c>
      <x:c r="E11" s="25" t="str">
        <x:v>SCORED</x:v>
      </x:c>
      <x:c r="F11" s="25" t="n">
        <x:v>1</x:v>
      </x:c>
      <x:c r="G11" s="25" t="str">
        <x:v>SCORED</x:v>
      </x:c>
      <x:c r="H11" s="25" t="n">
        <x:v>1</x:v>
      </x:c>
      <x:c r="I11" s="25" t="str">
        <x:v>SCORED</x:v>
      </x:c>
      <x:c r="J11" s="25" t="n">
        <x:v>0</x:v>
      </x:c>
      <x:c r="K11" s="25" t="str">
        <x:v>SCORED</x:v>
      </x:c>
      <x:c r="L11" s="25" t="n">
        <x:v>1</x:v>
      </x:c>
      <x:c r="M11" s="25" t="str">
        <x:v>SCORED</x:v>
      </x:c>
      <x:c r="N11" s="47" t="str">
        <x:f>IF(D11="","NA",D11)&amp;"|"&amp;F11&amp;"|"&amp;H11&amp;"|"&amp;J11&amp;"|"&amp;L11</x:f>
        <x:v>2|1|1|0|1</x:v>
      </x:c>
      <x:c r="O11" s="47" t="str">
        <x:v>两轮较低规模、PE/VC较晚直接进入、无转让；路径和证据主要依赖补充摘要。</x:v>
      </x:c>
      <x:c r="P11" s="47" t="str">
        <x:v>CV031=0[VALID]; CV032=0; warning=5。</x:v>
      </x:c>
      <x:c r="Q11" s="47" t="str">
        <x:v>PASS</x:v>
      </x:c>
      <x:c r="R11" s="47" t="str">
        <x:v>PASS_WITH_LIMITATION</x:v>
      </x:c>
      <x:c r="S11" s="47" t="str">
        <x:v>PASS_RULE_APPLIED</x:v>
      </x:c>
      <x:c r="T11" s="47" t="str">
        <x:v>ELIGIBLE_WITH_LIMITATIONS</x:v>
      </x:c>
      <x:c r="U11" s="47" t="str">
        <x:v>初评只用于Stage6C组合比较；不是公司质量、投资价值或最终代表性结论。</x:v>
      </x:c>
    </x:row>
    <x:row r="12" ht="116" customHeight="1">
      <x:c r="A12" s="48" t="str">
        <x:v>920116</x:v>
      </x:c>
      <x:c r="B12" s="48" t="str">
        <x:v>星图测控</x:v>
      </x:c>
      <x:c r="C12" s="48" t="str">
        <x:v>PASS_CORE</x:v>
      </x:c>
      <x:c r="D12" s="26" t="n">
        <x:v>1</x:v>
      </x:c>
      <x:c r="E12" s="26" t="str">
        <x:v>SCORED</x:v>
      </x:c>
      <x:c r="F12" s="26" t="n">
        <x:v>0</x:v>
      </x:c>
      <x:c r="G12" s="26" t="str">
        <x:v>SCORED</x:v>
      </x:c>
      <x:c r="H12" s="26" t="n">
        <x:v>1</x:v>
      </x:c>
      <x:c r="I12" s="26" t="str">
        <x:v>SCORED</x:v>
      </x:c>
      <x:c r="J12" s="26" t="n">
        <x:v>0</x:v>
      </x:c>
      <x:c r="K12" s="26" t="str">
        <x:v>SCORED</x:v>
      </x:c>
      <x:c r="L12" s="26" t="n">
        <x:v>2</x:v>
      </x:c>
      <x:c r="M12" s="26" t="str">
        <x:v>SCORED</x:v>
      </x:c>
      <x:c r="N12" s="48" t="str">
        <x:f>IF(D12="","NA",D12)&amp;"|"&amp;F12&amp;"|"&amp;H12&amp;"|"&amp;J12&amp;"|"&amp;L12</x:f>
        <x:v>1|0|1|0|2</x:v>
      </x:c>
      <x:c r="O12" s="48" t="str">
        <x:v>单轮、无确认PE/VC、单轮投资方较多、证据密度高；适合作为简单结构对照。</x:v>
      </x:c>
      <x:c r="P12" s="48" t="str">
        <x:v>CV031=5[VALID]; CV032=0; warning=2。</x:v>
      </x:c>
      <x:c r="Q12" s="48" t="str">
        <x:v>PASS_CONTRAST</x:v>
      </x:c>
      <x:c r="R12" s="48" t="str">
        <x:v>PASS_WITH_WARNING</x:v>
      </x:c>
      <x:c r="S12" s="48" t="str">
        <x:v>PASS_RULE_APPLIED</x:v>
      </x:c>
      <x:c r="T12" s="48" t="str">
        <x:v>ELIGIBLE_WITH_WARNINGS</x:v>
      </x:c>
      <x:c r="U12" s="48" t="str">
        <x:v>初评只用于Stage6C组合比较；不是公司质量、投资价值或最终代表性结论。</x:v>
      </x:c>
    </x:row>
  </x:sheetData>
  <x:mergeCells>
    <x:mergeCell ref="A1:U1"/>
    <x:mergeCell ref="A2:U2"/>
  </x:mergeCells>
  <x:conditionalFormatting sqref="D5:D12">
    <x:cfRule type="colorScale" priority="1">
      <x:colorScale>
        <x:cfvo type="min"/>
        <x:cfvo type="percentile" val="50"/>
        <x:cfvo type="max"/>
        <x:color rgb="FFF1F5F9"/>
        <x:color rgb="FFFEF3C7"/>
        <x:color rgb="FFDCFCE7"/>
      </x:colorScale>
    </x:cfRule>
  </x:conditionalFormatting>
  <x:conditionalFormatting sqref="F5:F12">
    <x:cfRule type="colorScale" priority="2">
      <x:colorScale>
        <x:cfvo type="min"/>
        <x:cfvo type="percentile" val="50"/>
        <x:cfvo type="max"/>
        <x:color rgb="FFF1F5F9"/>
        <x:color rgb="FFFEF3C7"/>
        <x:color rgb="FFDCFCE7"/>
      </x:colorScale>
    </x:cfRule>
  </x:conditionalFormatting>
  <x:conditionalFormatting sqref="H5:H12">
    <x:cfRule type="colorScale" priority="3">
      <x:colorScale>
        <x:cfvo type="min"/>
        <x:cfvo type="percentile" val="50"/>
        <x:cfvo type="max"/>
        <x:color rgb="FFF1F5F9"/>
        <x:color rgb="FFFEF3C7"/>
        <x:color rgb="FFDCFCE7"/>
      </x:colorScale>
    </x:cfRule>
  </x:conditionalFormatting>
  <x:conditionalFormatting sqref="J5:J12">
    <x:cfRule type="colorScale" priority="4">
      <x:colorScale>
        <x:cfvo type="min"/>
        <x:cfvo type="percentile" val="50"/>
        <x:cfvo type="max"/>
        <x:color rgb="FFF1F5F9"/>
        <x:color rgb="FFFEF3C7"/>
        <x:color rgb="FFDCFCE7"/>
      </x:colorScale>
    </x:cfRule>
  </x:conditionalFormatting>
  <x:conditionalFormatting sqref="L5:L12">
    <x:cfRule type="colorScale" priority="5">
      <x:colorScale>
        <x:cfvo type="min"/>
        <x:cfvo type="percentile" val="50"/>
        <x:cfvo type="max"/>
        <x:color rgb="FFF1F5F9"/>
        <x:color rgb="FFFEF3C7"/>
        <x:color rgb="FFDCFCE7"/>
      </x:colorScale>
    </x:cfRule>
  </x:conditionalFormatting>
  <x:conditionalFormatting sqref="T5:T12">
    <x:cfRule type="containsText" dxfId="0" priority="6" operator="containsText" text="ELIGIBLE"/>
    <x:cfRule type="containsText" dxfId="1" priority="7" operator="containsText" text="METHO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28" hidden="0" customWidth="1"/>
    <x:col min="5" max="5" width="10" hidden="0" customWidth="1"/>
    <x:col min="6" max="6" width="28" hidden="0" customWidth="1"/>
    <x:col min="7" max="7" width="92" hidden="0" customWidth="1"/>
    <x:col min="8" max="8" width="48" hidden="0" customWidth="1"/>
    <x:col min="9" max="9" width="84" hidden="0" customWidth="1"/>
    <x:col min="10" max="10" width="70" hidden="0" customWidth="1"/>
    <x:col min="11" max="11" width="24" hidden="0" customWidth="1"/>
  </x:cols>
  <x:sheetData>
    <x:row r="1" ht="32" customHeight="1">
      <x:c r="A1" s="3" t="str">
        <x:v>40项公司—轴评分证据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4" customHeight="1">
      <x:c r="A2" s="7" t="str">
        <x:v>每项得分都有冻结值、质量伴随、研究判断理由和解释边界。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2" customHeight="1">
      <x:c r="A4" s="40" t="str">
        <x:v>公司ID</x:v>
      </x:c>
      <x:c r="B4" s="41" t="str">
        <x:v>公司名称</x:v>
      </x:c>
      <x:c r="C4" s="41" t="str">
        <x:v>轴ID</x:v>
      </x:c>
      <x:c r="D4" s="41" t="str">
        <x:v>评价轴</x:v>
      </x:c>
      <x:c r="E4" s="41" t="str">
        <x:v>得分</x:v>
      </x:c>
      <x:c r="F4" s="41" t="str">
        <x:v>评分状态</x:v>
      </x:c>
      <x:c r="G4" s="41" t="str">
        <x:v>冻结证据</x:v>
      </x:c>
      <x:c r="H4" s="41" t="str">
        <x:v>质量伴随</x:v>
      </x:c>
      <x:c r="I4" s="41" t="str">
        <x:v>评分理由</x:v>
      </x:c>
      <x:c r="J4" s="41" t="str">
        <x:v>解释边界</x:v>
      </x:c>
      <x:c r="K4" s="42" t="str">
        <x:v>判断层</x:v>
      </x:c>
    </x:row>
    <x:row r="5" ht="108" customHeight="1">
      <x:c r="A5" s="53" t="str">
        <x:v>001282</x:v>
      </x:c>
      <x:c r="B5" s="53" t="str">
        <x:v>三联锻造</x:v>
      </x:c>
      <x:c r="C5" s="53" t="str">
        <x:v>S1</x:v>
      </x:c>
      <x:c r="D5" s="53" t="str">
        <x:v>融资画像差异</x:v>
      </x:c>
      <x:c r="E5" s="51" t="n">
        <x:v>1</x:v>
      </x:c>
      <x:c r="F5" s="51" t="str">
        <x:v>SCORED</x:v>
      </x:c>
      <x:c r="G5" s="51" t="str">
        <x:v>CV002=1; CV003=1566[VALID]; CV005=1566; CV007=1566; CV008=1; CV028=1; CV030=1; CV032=1</x:v>
      </x:c>
      <x:c r="H5" s="51" t="str">
        <x:v>CV027/CV028/CV030/CV032</x:v>
      </x:c>
      <x:c r="I5" s="51" t="str">
        <x:v>仅1轮；均值、最大值和集中度由单轮机械决定。可作为单轮低规模对照，但信息维度有限。</x:v>
      </x:c>
      <x:c r="J5" s="51" t="str">
        <x:v>金额为可核验下限；单轮公司的均值/最大值/集中度存在机械重合。</x:v>
      </x:c>
      <x:c r="K5" s="51" t="str">
        <x:v>Stage6B研究判断</x:v>
      </x:c>
    </x:row>
    <x:row r="6" ht="108" customHeight="1">
      <x:c r="A6" s="53" t="str">
        <x:v>001282</x:v>
      </x:c>
      <x:c r="B6" s="53" t="str">
        <x:v>三联锻造</x:v>
      </x:c>
      <x:c r="C6" s="53" t="str">
        <x:v>S2</x:v>
      </x:c>
      <x:c r="D6" s="53" t="str">
        <x:v>PE/VC参与与路径独特性</x:v>
      </x:c>
      <x:c r="E6" s="51" t="n">
        <x:v>0</x:v>
      </x:c>
      <x:c r="F6" s="51" t="str">
        <x:v>SCORED</x:v>
      </x:c>
      <x:c r="G6" s="51" t="str">
        <x:v>CV011=0; CV012=0; CV013=0; CV014=0; CV015=null[STRUCTURAL_NA]; CV017=null; CV018=0; CV019=0</x:v>
      </x:c>
      <x:c r="H6" s="51" t="str">
        <x:v>路径证据、适用N、warning_code</x:v>
      </x:c>
      <x:c r="I6" s="51" t="str">
        <x:v>冻结口径内未确认PE/VC，进入时点变量结构不适用；不形成参与深度或路径组合。</x:v>
      </x:c>
      <x:c r="J6" s="51" t="str">
        <x:v>未确认PE/VC不等于绝对不存在；法律主体不等于投资体系。</x:v>
      </x:c>
      <x:c r="K6" s="51" t="str">
        <x:v>Stage6B研究判断</x:v>
      </x:c>
    </x:row>
    <x:row r="7" ht="108" customHeight="1">
      <x:c r="A7" s="53" t="str">
        <x:v>001282</x:v>
      </x:c>
      <x:c r="B7" s="53" t="str">
        <x:v>三联锻造</x:v>
      </x:c>
      <x:c r="C7" s="53" t="str">
        <x:v>S3</x:v>
      </x:c>
      <x:c r="D7" s="53" t="str">
        <x:v>参与主体结构丰富度</x:v>
      </x:c>
      <x:c r="E7" s="51" t="n">
        <x:v>0</x:v>
      </x:c>
      <x:c r="F7" s="51" t="str">
        <x:v>SCORED</x:v>
      </x:c>
      <x:c r="G7" s="51" t="str">
        <x:v>CV020=1; CV021=1; CV022=1[VALID]</x:v>
      </x:c>
      <x:c r="H7" s="51" t="str">
        <x:v>CV002与角色/简称警告</x:v>
      </x:c>
      <x:c r="I7" s="51" t="str">
        <x:v>直接主体1、融资投资方1、密度1，结构信息有限且有主体名称桥接警告。</x:v>
      </x:c>
      <x:c r="J7" s="51" t="str">
        <x:v>主体数量不代表治理质量或融资质量。</x:v>
      </x:c>
      <x:c r="K7" s="51" t="str">
        <x:v>Stage6B研究判断</x:v>
      </x:c>
    </x:row>
    <x:row r="8" ht="108" customHeight="1">
      <x:c r="A8" s="53" t="str">
        <x:v>001282</x:v>
      </x:c>
      <x:c r="B8" s="53" t="str">
        <x:v>三联锻造</x:v>
      </x:c>
      <x:c r="C8" s="53" t="str">
        <x:v>S4</x:v>
      </x:c>
      <x:c r="D8" s="53" t="str">
        <x:v>一级/二级交易差异</x:v>
      </x:c>
      <x:c r="E8" s="51" t="n">
        <x:v>0</x:v>
      </x:c>
      <x:c r="F8" s="51" t="str">
        <x:v>SCORED</x:v>
      </x:c>
      <x:c r="G8" s="51" t="str">
        <x:v>CV024=0; CV025=null[STRUCTURAL_NA]; CV026=null[STRUCTURAL_NA]</x:v>
      </x:c>
      <x:c r="H8" s="51" t="str">
        <x:v>CV003/CV025及金额状态</x:v>
      </x:c>
      <x:c r="I8" s="51" t="str">
        <x:v>股权转让交易数为有效0，金额与比值结构不适用。</x:v>
      </x:c>
      <x:c r="J8" s="51" t="str">
        <x:v>转让资金不进入发行人；比值缺任一金额时保持null。</x:v>
      </x:c>
      <x:c r="K8" s="51" t="str">
        <x:v>Stage6B研究判断</x:v>
      </x:c>
    </x:row>
    <x:row r="9" ht="108" customHeight="1">
      <x:c r="A9" s="53" t="str">
        <x:v>001282</x:v>
      </x:c>
      <x:c r="B9" s="53" t="str">
        <x:v>三联锻造</x:v>
      </x:c>
      <x:c r="C9" s="53" t="str">
        <x:v>S5</x:v>
      </x:c>
      <x:c r="D9" s="53" t="str">
        <x:v>数据质量与证据完备性</x:v>
      </x:c>
      <x:c r="E9" s="51" t="n">
        <x:v>1</x:v>
      </x:c>
      <x:c r="F9" s="51" t="str">
        <x:v>SCORED</x:v>
      </x:c>
      <x:c r="G9" s="51" t="str">
        <x:v>CV027=1; CV028=1; CV029=1; CV030=1; CV031=2; CV032=1; warnings=2</x:v>
      </x:c>
      <x:c r="H9" s="51" t="str">
        <x:v>质量变量本身</x:v>
      </x:c>
      <x:c r="I9" s="51" t="str">
        <x:v>金额/日期覆盖完整且证据密度2，但金额全部为计算型，且公司级披露限制标记为1。</x:v>
      </x:c>
      <x:c r="J9" s="51" t="str">
        <x:v>S5只评价数据解释条件，不评价公司经营质量或投资吸引力。</x:v>
      </x:c>
      <x:c r="K9" s="51" t="str">
        <x:v>Stage6B研究判断</x:v>
      </x:c>
    </x:row>
    <x:row r="10" ht="108" customHeight="1">
      <x:c r="A10" s="53" t="str">
        <x:v>301563</x:v>
      </x:c>
      <x:c r="B10" s="53" t="str">
        <x:v>云汉芯城</x:v>
      </x:c>
      <x:c r="C10" s="53" t="str">
        <x:v>S1</x:v>
      </x:c>
      <x:c r="D10" s="53" t="str">
        <x:v>融资画像差异</x:v>
      </x:c>
      <x:c r="E10" s="51" t="n">
        <x:v>2</x:v>
      </x:c>
      <x:c r="F10" s="51" t="str">
        <x:v>SCORED</x:v>
      </x:c>
      <x:c r="G10" s="51" t="str">
        <x:v>CV002=7; CV003=27120[VALID]; CV005=9000; CV007=15000; CV008=0.5556; CV028=0.4286; CV030=0.6667; CV032=1</x:v>
      </x:c>
      <x:c r="H10" s="51" t="str">
        <x:v>CV027/CV028/CV030/CV032</x:v>
      </x:c>
      <x:c r="I10" s="51" t="str">
        <x:v>7轮为样本最高；金额下限27,120万元、最大轮占比55.6%，形成多轮且相对分散的组合；金额覆盖率仅42.9%。</x:v>
      </x:c>
      <x:c r="J10" s="51" t="str">
        <x:v>金额为可核验下限；单轮公司的均值/最大值/集中度存在机械重合。</x:v>
      </x:c>
      <x:c r="K10" s="51" t="str">
        <x:v>Stage6B研究判断</x:v>
      </x:c>
    </x:row>
    <x:row r="11" ht="108" customHeight="1">
      <x:c r="A11" s="53" t="str">
        <x:v>301563</x:v>
      </x:c>
      <x:c r="B11" s="53" t="str">
        <x:v>云汉芯城</x:v>
      </x:c>
      <x:c r="C11" s="53" t="str">
        <x:v>S2</x:v>
      </x:c>
      <x:c r="D11" s="53" t="str">
        <x:v>PE/VC参与与路径独特性</x:v>
      </x:c>
      <x:c r="E11" s="51" t="n">
        <x:v>2</x:v>
      </x:c>
      <x:c r="F11" s="51" t="str">
        <x:v>SCORED</x:v>
      </x:c>
      <x:c r="G11" s="51" t="str">
        <x:v>CV011=1; CV012=12; CV013=0.3429; CV014=5; CV015=2014-08[VALID]; CV017=0.2857; CV018=1; CV019=2</x:v>
      </x:c>
      <x:c r="H11" s="51" t="str">
        <x:v>路径证据、适用N、warning_code</x:v>
      </x:c>
      <x:c r="I11" s="51" t="str">
        <x:v>确认12个PE/VC法律主体、参与5轮，首次进入位置约28.6%，同时存在间接路径和2种进入方式。</x:v>
      </x:c>
      <x:c r="J11" s="51" t="str">
        <x:v>未确认PE/VC不等于绝对不存在；法律主体不等于投资体系。</x:v>
      </x:c>
      <x:c r="K11" s="51" t="str">
        <x:v>Stage6B研究判断</x:v>
      </x:c>
    </x:row>
    <x:row r="12" ht="108" customHeight="1">
      <x:c r="A12" s="53" t="str">
        <x:v>301563</x:v>
      </x:c>
      <x:c r="B12" s="53" t="str">
        <x:v>云汉芯城</x:v>
      </x:c>
      <x:c r="C12" s="53" t="str">
        <x:v>S3</x:v>
      </x:c>
      <x:c r="D12" s="53" t="str">
        <x:v>参与主体结构丰富度</x:v>
      </x:c>
      <x:c r="E12" s="51" t="n">
        <x:v>2</x:v>
      </x:c>
      <x:c r="F12" s="51" t="str">
        <x:v>SCORED</x:v>
      </x:c>
      <x:c r="G12" s="51" t="str">
        <x:v>CV020=35; CV021=19; CV022=2.7143[VALID]</x:v>
      </x:c>
      <x:c r="H12" s="51" t="str">
        <x:v>CV002与角色/简称警告</x:v>
      </x:c>
      <x:c r="I12" s="51" t="str">
        <x:v>直接主体35、融资投资方19、每轮密度2.71，多个结构维度均明显，但角色范围映射有警告。</x:v>
      </x:c>
      <x:c r="J12" s="51" t="str">
        <x:v>主体数量不代表治理质量或融资质量。</x:v>
      </x:c>
      <x:c r="K12" s="51" t="str">
        <x:v>Stage6B研究判断</x:v>
      </x:c>
    </x:row>
    <x:row r="13" ht="108" customHeight="1">
      <x:c r="A13" s="53" t="str">
        <x:v>301563</x:v>
      </x:c>
      <x:c r="B13" s="53" t="str">
        <x:v>云汉芯城</x:v>
      </x:c>
      <x:c r="C13" s="53" t="str">
        <x:v>S4</x:v>
      </x:c>
      <x:c r="D13" s="53" t="str">
        <x:v>一级/二级交易差异</x:v>
      </x:c>
      <x:c r="E13" s="51" t="n">
        <x:v>2</x:v>
      </x:c>
      <x:c r="F13" s="51" t="str">
        <x:v>SCORED</x:v>
      </x:c>
      <x:c r="G13" s="51" t="str">
        <x:v>CV024=20; CV025=13018.1954[VALID]; CV026=0.48[VALID]</x:v>
      </x:c>
      <x:c r="H13" s="51" t="str">
        <x:v>CV003/CV025及金额状态</x:v>
      </x:c>
      <x:c r="I13" s="51" t="str">
        <x:v>20笔股权转让、对价下限13,018.1954万元，转让/融资下限比约48.0%，形成完整一级/二级对照。</x:v>
      </x:c>
      <x:c r="J13" s="51" t="str">
        <x:v>转让资金不进入发行人；比值缺任一金额时保持null。</x:v>
      </x:c>
      <x:c r="K13" s="51" t="str">
        <x:v>Stage6B研究判断</x:v>
      </x:c>
    </x:row>
    <x:row r="14" ht="108" customHeight="1">
      <x:c r="A14" s="53" t="str">
        <x:v>301563</x:v>
      </x:c>
      <x:c r="B14" s="53" t="str">
        <x:v>云汉芯城</x:v>
      </x:c>
      <x:c r="C14" s="53" t="str">
        <x:v>S5</x:v>
      </x:c>
      <x:c r="D14" s="53" t="str">
        <x:v>数据质量与证据完备性</x:v>
      </x:c>
      <x:c r="E14" s="51" t="n">
        <x:v>1</x:v>
      </x:c>
      <x:c r="F14" s="51" t="str">
        <x:v>SCORED</x:v>
      </x:c>
      <x:c r="G14" s="51" t="str">
        <x:v>CV027=3; CV028=0.4286; CV029=0.8571; CV030=0.6667; CV031=2.8571; CV032=1; warnings=2</x:v>
      </x:c>
      <x:c r="H14" s="51" t="str">
        <x:v>质量变量本身</x:v>
      </x:c>
      <x:c r="I14" s="51" t="str">
        <x:v>证据密度较高，但金额覆盖42.9%、日期覆盖85.7%、计算型金额占66.7%，且披露限制标记为1。</x:v>
      </x:c>
      <x:c r="J14" s="51" t="str">
        <x:v>S5只评价数据解释条件，不评价公司经营质量或投资吸引力。</x:v>
      </x:c>
      <x:c r="K14" s="51" t="str">
        <x:v>Stage6B研究判断</x:v>
      </x:c>
    </x:row>
    <x:row r="15" ht="108" customHeight="1">
      <x:c r="A15" s="53" t="str">
        <x:v>301581</x:v>
      </x:c>
      <x:c r="B15" s="53" t="str">
        <x:v>黄山谷捷</x:v>
      </x:c>
      <x:c r="C15" s="53" t="str">
        <x:v>S1</x:v>
      </x:c>
      <x:c r="D15" s="53" t="str">
        <x:v>融资画像差异</x:v>
      </x:c>
      <x:c r="E15" s="51" t="n">
        <x:v>2</x:v>
      </x:c>
      <x:c r="F15" s="51" t="str">
        <x:v>SCORED</x:v>
      </x:c>
      <x:c r="G15" s="51" t="str">
        <x:v>CV002=2; CV003=13655.0983[VALID]; CV005=6827.5491; CV007=11530.2854; CV008=0.8444; CV028=1; CV030=1; CV032=0</x:v>
      </x:c>
      <x:c r="H15" s="51" t="str">
        <x:v>CV027/CV028/CV030/CV032</x:v>
      </x:c>
      <x:c r="I15" s="51" t="str">
        <x:v>2轮、金额下限13,655.0983万元，最大轮占84.4%，形成中等规模且集中于单轮的清晰组合。</x:v>
      </x:c>
      <x:c r="J15" s="51" t="str">
        <x:v>金额为可核验下限；单轮公司的均值/最大值/集中度存在机械重合。</x:v>
      </x:c>
      <x:c r="K15" s="51" t="str">
        <x:v>Stage6B研究判断</x:v>
      </x:c>
    </x:row>
    <x:row r="16" ht="108" customHeight="1">
      <x:c r="A16" s="53" t="str">
        <x:v>301581</x:v>
      </x:c>
      <x:c r="B16" s="53" t="str">
        <x:v>黄山谷捷</x:v>
      </x:c>
      <x:c r="C16" s="53" t="str">
        <x:v>S2</x:v>
      </x:c>
      <x:c r="D16" s="53" t="str">
        <x:v>PE/VC参与与路径独特性</x:v>
      </x:c>
      <x:c r="E16" s="51" t="n">
        <x:v>0</x:v>
      </x:c>
      <x:c r="F16" s="51" t="str">
        <x:v>SCORED</x:v>
      </x:c>
      <x:c r="G16" s="51" t="str">
        <x:v>CV011=0; CV012=0; CV013=0; CV014=0; CV015=null[STRUCTURAL_NA]; CV017=null; CV018=0; CV019=0</x:v>
      </x:c>
      <x:c r="H16" s="51" t="str">
        <x:v>路径证据、适用N、warning_code</x:v>
      </x:c>
      <x:c r="I16" s="51" t="str">
        <x:v>冻结口径内未确认PE/VC，进入时点结构不适用；不形成PE/VC路径组合。</x:v>
      </x:c>
      <x:c r="J16" s="51" t="str">
        <x:v>未确认PE/VC不等于绝对不存在；法律主体不等于投资体系。</x:v>
      </x:c>
      <x:c r="K16" s="51" t="str">
        <x:v>Stage6B研究判断</x:v>
      </x:c>
    </x:row>
    <x:row r="17" ht="108" customHeight="1">
      <x:c r="A17" s="53" t="str">
        <x:v>301581</x:v>
      </x:c>
      <x:c r="B17" s="53" t="str">
        <x:v>黄山谷捷</x:v>
      </x:c>
      <x:c r="C17" s="53" t="str">
        <x:v>S3</x:v>
      </x:c>
      <x:c r="D17" s="53" t="str">
        <x:v>参与主体结构丰富度</x:v>
      </x:c>
      <x:c r="E17" s="51" t="n">
        <x:v>1</x:v>
      </x:c>
      <x:c r="F17" s="51" t="str">
        <x:v>SCORED</x:v>
      </x:c>
      <x:c r="G17" s="51" t="str">
        <x:v>CV020=6; CV021=3; CV022=1.5[VALID]</x:v>
      </x:c>
      <x:c r="H17" s="51" t="str">
        <x:v>CV002与角色/简称警告</x:v>
      </x:c>
      <x:c r="I17" s="51" t="str">
        <x:v>直接主体6、融资投资方3、密度1.5，提供一个可解释结构维度，但简称桥接存在警告。</x:v>
      </x:c>
      <x:c r="J17" s="51" t="str">
        <x:v>主体数量不代表治理质量或融资质量。</x:v>
      </x:c>
      <x:c r="K17" s="51" t="str">
        <x:v>Stage6B研究判断</x:v>
      </x:c>
    </x:row>
    <x:row r="18" ht="108" customHeight="1">
      <x:c r="A18" s="53" t="str">
        <x:v>301581</x:v>
      </x:c>
      <x:c r="B18" s="53" t="str">
        <x:v>黄山谷捷</x:v>
      </x:c>
      <x:c r="C18" s="53" t="str">
        <x:v>S4</x:v>
      </x:c>
      <x:c r="D18" s="53" t="str">
        <x:v>一级/二级交易差异</x:v>
      </x:c>
      <x:c r="E18" s="51" t="n">
        <x:v>1</x:v>
      </x:c>
      <x:c r="F18" s="51" t="str">
        <x:v>SCORED</x:v>
      </x:c>
      <x:c r="G18" s="51" t="str">
        <x:v>CV024=1; CV025=0[VALID]; CV026=0[VALID]</x:v>
      </x:c>
      <x:c r="H18" s="51" t="str">
        <x:v>CV003/CV025及金额状态</x:v>
      </x:c>
      <x:c r="I18" s="51" t="str">
        <x:v>存在1笔转让；对价和比值均为有效0，可形成交易发生但可核验对价为0的条件案例。</x:v>
      </x:c>
      <x:c r="J18" s="51" t="str">
        <x:v>转让资金不进入发行人；比值缺任一金额时保持null。</x:v>
      </x:c>
      <x:c r="K18" s="51" t="str">
        <x:v>Stage6B研究判断</x:v>
      </x:c>
    </x:row>
    <x:row r="19" ht="108" customHeight="1">
      <x:c r="A19" s="53" t="str">
        <x:v>301581</x:v>
      </x:c>
      <x:c r="B19" s="53" t="str">
        <x:v>黄山谷捷</x:v>
      </x:c>
      <x:c r="C19" s="53" t="str">
        <x:v>S5</x:v>
      </x:c>
      <x:c r="D19" s="53" t="str">
        <x:v>数据质量与证据完备性</x:v>
      </x:c>
      <x:c r="E19" s="51" t="n">
        <x:v>1</x:v>
      </x:c>
      <x:c r="F19" s="51" t="str">
        <x:v>SCORED</x:v>
      </x:c>
      <x:c r="G19" s="51" t="str">
        <x:v>CV027=2; CV028=1; CV029=1; CV030=1; CV031=1; CV032=0; warnings=2</x:v>
      </x:c>
      <x:c r="H19" s="51" t="str">
        <x:v>质量变量本身</x:v>
      </x:c>
      <x:c r="I19" s="51" t="str">
        <x:v>金额和日期覆盖完整、无披露限制，但金额全部为计算型且主体简称桥接需说明。</x:v>
      </x:c>
      <x:c r="J19" s="51" t="str">
        <x:v>S5只评价数据解释条件，不评价公司经营质量或投资吸引力。</x:v>
      </x:c>
      <x:c r="K19" s="51" t="str">
        <x:v>Stage6B研究判断</x:v>
      </x:c>
    </x:row>
    <x:row r="20" ht="108" customHeight="1">
      <x:c r="A20" s="53" t="str">
        <x:v>603418</x:v>
      </x:c>
      <x:c r="B20" s="53" t="str">
        <x:v>友升股份</x:v>
      </x:c>
      <x:c r="C20" s="53" t="str">
        <x:v>S1</x:v>
      </x:c>
      <x:c r="D20" s="53" t="str">
        <x:v>融资画像差异</x:v>
      </x:c>
      <x:c r="E20" s="51" t="n">
        <x:v>2</x:v>
      </x:c>
      <x:c r="F20" s="51" t="str">
        <x:v>SCORED</x:v>
      </x:c>
      <x:c r="G20" s="51" t="str">
        <x:v>CV002=2; CV003=48500[VALID]; CV005=24250; CV007=37000; CV008=0.7629; CV028=1; CV030=0.5; CV032=0</x:v>
      </x:c>
      <x:c r="H20" s="51" t="str">
        <x:v>CV027/CV028/CV030/CV032</x:v>
      </x:c>
      <x:c r="I20" s="51" t="str">
        <x:v>2轮、金额下限48,500万元，最大轮37,000万元、占比76.3%，形成高规模且较集中组合。</x:v>
      </x:c>
      <x:c r="J20" s="51" t="str">
        <x:v>金额为可核验下限；单轮公司的均值/最大值/集中度存在机械重合。</x:v>
      </x:c>
      <x:c r="K20" s="51" t="str">
        <x:v>Stage6B研究判断</x:v>
      </x:c>
    </x:row>
    <x:row r="21" ht="108" customHeight="1">
      <x:c r="A21" s="53" t="str">
        <x:v>603418</x:v>
      </x:c>
      <x:c r="B21" s="53" t="str">
        <x:v>友升股份</x:v>
      </x:c>
      <x:c r="C21" s="53" t="str">
        <x:v>S2</x:v>
      </x:c>
      <x:c r="D21" s="53" t="str">
        <x:v>PE/VC参与与路径独特性</x:v>
      </x:c>
      <x:c r="E21" s="51" t="n">
        <x:v>1</x:v>
      </x:c>
      <x:c r="F21" s="51" t="str">
        <x:v>SCORED</x:v>
      </x:c>
      <x:c r="G21" s="51" t="str">
        <x:v>CV011=1; CV012=2; CV013=0.1538; CV014=1; CV015=2020-09[VALID]; CV017=0.5; CV018=0; CV019=1</x:v>
      </x:c>
      <x:c r="H21" s="51" t="str">
        <x:v>路径证据、适用N、warning_code</x:v>
      </x:c>
      <x:c r="I21" s="51" t="str">
        <x:v>确认2个PE/VC法律主体、参与1轮，2020年直接进入；路径清晰但深度和方式多样性有限。</x:v>
      </x:c>
      <x:c r="J21" s="51" t="str">
        <x:v>未确认PE/VC不等于绝对不存在；法律主体不等于投资体系。</x:v>
      </x:c>
      <x:c r="K21" s="51" t="str">
        <x:v>Stage6B研究判断</x:v>
      </x:c>
    </x:row>
    <x:row r="22" ht="108" customHeight="1">
      <x:c r="A22" s="53" t="str">
        <x:v>603418</x:v>
      </x:c>
      <x:c r="B22" s="53" t="str">
        <x:v>友升股份</x:v>
      </x:c>
      <x:c r="C22" s="53" t="str">
        <x:v>S3</x:v>
      </x:c>
      <x:c r="D22" s="53" t="str">
        <x:v>参与主体结构丰富度</x:v>
      </x:c>
      <x:c r="E22" s="51" t="n">
        <x:v>1</x:v>
      </x:c>
      <x:c r="F22" s="51" t="str">
        <x:v>SCORED</x:v>
      </x:c>
      <x:c r="G22" s="51" t="str">
        <x:v>CV020=13; CV021=2; CV022=1[VALID]</x:v>
      </x:c>
      <x:c r="H22" s="51" t="str">
        <x:v>CV002与角色/简称警告</x:v>
      </x:c>
      <x:c r="I22" s="51" t="str">
        <x:v>直接主体13但融资投资方仅2、密度1，形成一个结构反差；主体桥接存在警告。</x:v>
      </x:c>
      <x:c r="J22" s="51" t="str">
        <x:v>主体数量不代表治理质量或融资质量。</x:v>
      </x:c>
      <x:c r="K22" s="51" t="str">
        <x:v>Stage6B研究判断</x:v>
      </x:c>
    </x:row>
    <x:row r="23" ht="108" customHeight="1">
      <x:c r="A23" s="53" t="str">
        <x:v>603418</x:v>
      </x:c>
      <x:c r="B23" s="53" t="str">
        <x:v>友升股份</x:v>
      </x:c>
      <x:c r="C23" s="53" t="str">
        <x:v>S4</x:v>
      </x:c>
      <x:c r="D23" s="53" t="str">
        <x:v>一级/二级交易差异</x:v>
      </x:c>
      <x:c r="E23" s="51" t="n">
        <x:v>0</x:v>
      </x:c>
      <x:c r="F23" s="51" t="str">
        <x:v>SCORED</x:v>
      </x:c>
      <x:c r="G23" s="51" t="str">
        <x:v>CV024=0; CV025=null[STRUCTURAL_NA]; CV026=null[STRUCTURAL_NA]</x:v>
      </x:c>
      <x:c r="H23" s="51" t="str">
        <x:v>CV003/CV025及金额状态</x:v>
      </x:c>
      <x:c r="I23" s="51" t="str">
        <x:v>股权转让交易数为有效0，金额和比值结构不适用。</x:v>
      </x:c>
      <x:c r="J23" s="51" t="str">
        <x:v>转让资金不进入发行人；比值缺任一金额时保持null。</x:v>
      </x:c>
      <x:c r="K23" s="51" t="str">
        <x:v>Stage6B研究判断</x:v>
      </x:c>
    </x:row>
    <x:row r="24" ht="108" customHeight="1">
      <x:c r="A24" s="53" t="str">
        <x:v>603418</x:v>
      </x:c>
      <x:c r="B24" s="53" t="str">
        <x:v>友升股份</x:v>
      </x:c>
      <x:c r="C24" s="53" t="str">
        <x:v>S5</x:v>
      </x:c>
      <x:c r="D24" s="53" t="str">
        <x:v>数据质量与证据完备性</x:v>
      </x:c>
      <x:c r="E24" s="51" t="n">
        <x:v>1</x:v>
      </x:c>
      <x:c r="F24" s="51" t="str">
        <x:v>SCORED</x:v>
      </x:c>
      <x:c r="G24" s="51" t="str">
        <x:v>CV027=2; CV028=1; CV029=1; CV030=0.5; CV031=1.5; CV032=0; warnings=4</x:v>
      </x:c>
      <x:c r="H24" s="51" t="str">
        <x:v>质量变量本身</x:v>
      </x:c>
      <x:c r="I24" s="51" t="str">
        <x:v>金额/日期覆盖完整、计算型金额占50%，无公司披露限制，但存在4条主体或PE/VC桥接警告。</x:v>
      </x:c>
      <x:c r="J24" s="51" t="str">
        <x:v>S5只评价数据解释条件，不评价公司经营质量或投资吸引力。</x:v>
      </x:c>
      <x:c r="K24" s="51" t="str">
        <x:v>Stage6B研究判断</x:v>
      </x:c>
    </x:row>
    <x:row r="25" ht="108" customHeight="1">
      <x:c r="A25" s="53" t="str">
        <x:v>688758</x:v>
      </x:c>
      <x:c r="B25" s="53" t="str">
        <x:v>赛分科技</x:v>
      </x:c>
      <x:c r="C25" s="53" t="str">
        <x:v>S1</x:v>
      </x:c>
      <x:c r="D25" s="53" t="str">
        <x:v>融资画像差异</x:v>
      </x:c>
      <x:c r="E25" s="51" t="n">
        <x:v>2</x:v>
      </x:c>
      <x:c r="F25" s="51" t="str">
        <x:v>SCORED</x:v>
      </x:c>
      <x:c r="G25" s="51" t="str">
        <x:v>CV002=3; CV003=74000[VALID]; CV005=24666.6667; CV007=54000; CV008=0.7297; CV028=1; CV030=0; CV032=0</x:v>
      </x:c>
      <x:c r="H25" s="51" t="str">
        <x:v>CV027/CV028/CV030/CV032</x:v>
      </x:c>
      <x:c r="I25" s="51" t="str">
        <x:v>3轮、金额下限74,000万元和最大轮54,000万元均为样本高值，最大轮占73.0%，差异由多个维度共同支持。</x:v>
      </x:c>
      <x:c r="J25" s="51" t="str">
        <x:v>金额为可核验下限；单轮公司的均值/最大值/集中度存在机械重合。</x:v>
      </x:c>
      <x:c r="K25" s="51" t="str">
        <x:v>Stage6B研究判断</x:v>
      </x:c>
    </x:row>
    <x:row r="26" ht="108" customHeight="1">
      <x:c r="A26" s="53" t="str">
        <x:v>688758</x:v>
      </x:c>
      <x:c r="B26" s="53" t="str">
        <x:v>赛分科技</x:v>
      </x:c>
      <x:c r="C26" s="53" t="str">
        <x:v>S2</x:v>
      </x:c>
      <x:c r="D26" s="53" t="str">
        <x:v>PE/VC参与与路径独特性</x:v>
      </x:c>
      <x:c r="E26" s="51" t="n">
        <x:v>0</x:v>
      </x:c>
      <x:c r="F26" s="51" t="str">
        <x:v>SCORED</x:v>
      </x:c>
      <x:c r="G26" s="51" t="str">
        <x:v>CV011=0; CV012=0; CV013=0; CV014=0; CV015=null[STRUCTURAL_NA]; CV017=null; CV018=0; CV019=0</x:v>
      </x:c>
      <x:c r="H26" s="51" t="str">
        <x:v>路径证据、适用N、warning_code</x:v>
      </x:c>
      <x:c r="I26" s="51" t="str">
        <x:v>冻结口径内未确认PE/VC，进入时点结构不适用；不形成PE/VC路径组合。</x:v>
      </x:c>
      <x:c r="J26" s="51" t="str">
        <x:v>未确认PE/VC不等于绝对不存在；法律主体不等于投资体系。</x:v>
      </x:c>
      <x:c r="K26" s="51" t="str">
        <x:v>Stage6B研究判断</x:v>
      </x:c>
    </x:row>
    <x:row r="27" ht="108" customHeight="1">
      <x:c r="A27" s="53" t="str">
        <x:v>688758</x:v>
      </x:c>
      <x:c r="B27" s="53" t="str">
        <x:v>赛分科技</x:v>
      </x:c>
      <x:c r="C27" s="53" t="str">
        <x:v>S3</x:v>
      </x:c>
      <x:c r="D27" s="53" t="str">
        <x:v>参与主体结构丰富度</x:v>
      </x:c>
      <x:c r="E27" s="51" t="n">
        <x:v>1</x:v>
      </x:c>
      <x:c r="F27" s="51" t="str">
        <x:v>SCORED</x:v>
      </x:c>
      <x:c r="G27" s="51" t="str">
        <x:v>CV020=17; CV021=2; CV022=0.6667[VALID]</x:v>
      </x:c>
      <x:c r="H27" s="51" t="str">
        <x:v>CV002与角色/简称警告</x:v>
      </x:c>
      <x:c r="I27" s="51" t="str">
        <x:v>直接主体17、融资投资方2、密度0.67，体现参与主体广但融资投资方较集中，主体桥接有警告。</x:v>
      </x:c>
      <x:c r="J27" s="51" t="str">
        <x:v>主体数量不代表治理质量或融资质量。</x:v>
      </x:c>
      <x:c r="K27" s="51" t="str">
        <x:v>Stage6B研究判断</x:v>
      </x:c>
    </x:row>
    <x:row r="28" ht="108" customHeight="1">
      <x:c r="A28" s="53" t="str">
        <x:v>688758</x:v>
      </x:c>
      <x:c r="B28" s="53" t="str">
        <x:v>赛分科技</x:v>
      </x:c>
      <x:c r="C28" s="53" t="str">
        <x:v>S4</x:v>
      </x:c>
      <x:c r="D28" s="53" t="str">
        <x:v>一级/二级交易差异</x:v>
      </x:c>
      <x:c r="E28" s="51" t="n">
        <x:v>2</x:v>
      </x:c>
      <x:c r="F28" s="51" t="str">
        <x:v>SCORED</x:v>
      </x:c>
      <x:c r="G28" s="51" t="str">
        <x:v>CV024=2; CV025=3000[VALID]; CV026=0.0405[VALID]</x:v>
      </x:c>
      <x:c r="H28" s="51" t="str">
        <x:v>CV003/CV025及金额状态</x:v>
      </x:c>
      <x:c r="I28" s="51" t="str">
        <x:v>2笔转让、对价下限3,000万元、转让/融资下限比约4.1%，一级/二级链条可计算。</x:v>
      </x:c>
      <x:c r="J28" s="51" t="str">
        <x:v>转让资金不进入发行人；比值缺任一金额时保持null。</x:v>
      </x:c>
      <x:c r="K28" s="51" t="str">
        <x:v>Stage6B研究判断</x:v>
      </x:c>
    </x:row>
    <x:row r="29" ht="108" customHeight="1">
      <x:c r="A29" s="53" t="str">
        <x:v>688758</x:v>
      </x:c>
      <x:c r="B29" s="53" t="str">
        <x:v>赛分科技</x:v>
      </x:c>
      <x:c r="C29" s="53" t="str">
        <x:v>S5</x:v>
      </x:c>
      <x:c r="D29" s="53" t="str">
        <x:v>数据质量与证据完备性</x:v>
      </x:c>
      <x:c r="E29" s="51" t="n">
        <x:v>2</x:v>
      </x:c>
      <x:c r="F29" s="51" t="str">
        <x:v>SCORED</x:v>
      </x:c>
      <x:c r="G29" s="51" t="str">
        <x:v>CV027=3; CV028=1; CV029=1; CV030=0; CV031=1; CV032=0; warnings=2</x:v>
      </x:c>
      <x:c r="H29" s="51" t="str">
        <x:v>质量变量本身</x:v>
      </x:c>
      <x:c r="I29" s="51" t="str">
        <x:v>金额和日期覆盖完整、计算型金额占0、无披露限制；仅保留主体名称桥接警告。</x:v>
      </x:c>
      <x:c r="J29" s="51" t="str">
        <x:v>S5只评价数据解释条件，不评价公司经营质量或投资吸引力。</x:v>
      </x:c>
      <x:c r="K29" s="51" t="str">
        <x:v>Stage6B研究判断</x:v>
      </x:c>
    </x:row>
    <x:row r="30" ht="108" customHeight="1">
      <x:c r="A30" s="53" t="str">
        <x:v>688775</x:v>
      </x:c>
      <x:c r="B30" s="53" t="str">
        <x:v>影石创新</x:v>
      </x:c>
      <x:c r="C30" s="53" t="str">
        <x:v>S1</x:v>
      </x:c>
      <x:c r="D30" s="53" t="str">
        <x:v>融资画像差异</x:v>
      </x:c>
      <x:c r="E30" s="51"/>
      <x:c r="F30" s="51" t="str">
        <x:v>NOT_SCORED_G0_LIMITATION</x:v>
      </x:c>
      <x:c r="G30" s="51" t="str">
        <x:v>CV002=0; CV003=null[NOT_COMPUTABLE]; CV005=null; CV007=null; CV008=null; CV028=null; CV030=null; CV032=1</x:v>
      </x:c>
      <x:c r="H30" s="51" t="str">
        <x:v>CV027/CV028/CV030/CV032</x:v>
      </x:c>
      <x:c r="I30" s="51" t="str">
        <x:v>融资轮数0附带历史不可重构警告，融资金额下限不可计算，其余规模指标结构不适用，因此不评分。</x:v>
      </x:c>
      <x:c r="J30" s="51" t="str">
        <x:v>NOT_SCORED：关键融资规模不可计算；不得写0分。</x:v>
      </x:c>
      <x:c r="K30" s="51" t="str">
        <x:v>Stage6B研究判断</x:v>
      </x:c>
    </x:row>
    <x:row r="31" ht="108" customHeight="1">
      <x:c r="A31" s="53" t="str">
        <x:v>688775</x:v>
      </x:c>
      <x:c r="B31" s="53" t="str">
        <x:v>影石创新</x:v>
      </x:c>
      <x:c r="C31" s="53" t="str">
        <x:v>S2</x:v>
      </x:c>
      <x:c r="D31" s="53" t="str">
        <x:v>PE/VC参与与路径独特性</x:v>
      </x:c>
      <x:c r="E31" s="51" t="n">
        <x:v>0</x:v>
      </x:c>
      <x:c r="F31" s="51" t="str">
        <x:v>SCORED</x:v>
      </x:c>
      <x:c r="G31" s="51" t="str">
        <x:v>CV011=0; CV012=0; CV013=0; CV014=0; CV015=null[STRUCTURAL_NA]; CV017=null; CV018=0; CV019=0</x:v>
      </x:c>
      <x:c r="H31" s="51" t="str">
        <x:v>路径证据、适用N、warning_code</x:v>
      </x:c>
      <x:c r="I31" s="51" t="str">
        <x:v>冻结口径内未确认PE/VC，但公司披露存在明显边界；0不得解释为绝对不存在。</x:v>
      </x:c>
      <x:c r="J31" s="51" t="str">
        <x:v>未确认PE/VC不等于绝对不存在；法律主体不等于投资体系。</x:v>
      </x:c>
      <x:c r="K31" s="51" t="str">
        <x:v>Stage6B研究判断</x:v>
      </x:c>
    </x:row>
    <x:row r="32" ht="108" customHeight="1">
      <x:c r="A32" s="53" t="str">
        <x:v>688775</x:v>
      </x:c>
      <x:c r="B32" s="53" t="str">
        <x:v>影石创新</x:v>
      </x:c>
      <x:c r="C32" s="53" t="str">
        <x:v>S3</x:v>
      </x:c>
      <x:c r="D32" s="53" t="str">
        <x:v>参与主体结构丰富度</x:v>
      </x:c>
      <x:c r="E32" s="51" t="n">
        <x:v>0</x:v>
      </x:c>
      <x:c r="F32" s="51" t="str">
        <x:v>SCORED</x:v>
      </x:c>
      <x:c r="G32" s="51" t="str">
        <x:v>CV020=1; CV021=0; CV022=null[STRUCTURAL_NA]</x:v>
      </x:c>
      <x:c r="H32" s="51" t="str">
        <x:v>CV002与角色/简称警告</x:v>
      </x:c>
      <x:c r="I32" s="51" t="str">
        <x:v>直接主体1、融资投资方0、密度结构不适用，结构信息有限。</x:v>
      </x:c>
      <x:c r="J32" s="51" t="str">
        <x:v>主体数量不代表治理质量或融资质量。</x:v>
      </x:c>
      <x:c r="K32" s="51" t="str">
        <x:v>Stage6B研究判断</x:v>
      </x:c>
    </x:row>
    <x:row r="33" ht="108" customHeight="1">
      <x:c r="A33" s="53" t="str">
        <x:v>688775</x:v>
      </x:c>
      <x:c r="B33" s="53" t="str">
        <x:v>影石创新</x:v>
      </x:c>
      <x:c r="C33" s="53" t="str">
        <x:v>S4</x:v>
      </x:c>
      <x:c r="D33" s="53" t="str">
        <x:v>一级/二级交易差异</x:v>
      </x:c>
      <x:c r="E33" s="51" t="n">
        <x:v>1</x:v>
      </x:c>
      <x:c r="F33" s="51" t="str">
        <x:v>SCORED</x:v>
      </x:c>
      <x:c r="G33" s="51" t="str">
        <x:v>CV024=1; CV025=1462.7126[VALID]; CV026=null[NOT_COMPUTABLE]</x:v>
      </x:c>
      <x:c r="H33" s="51" t="str">
        <x:v>CV003/CV025及金额状态</x:v>
      </x:c>
      <x:c r="I33" s="51" t="str">
        <x:v>存在1笔转让和对价下限1,462.7126万元，但一级融资金额不可计算，比例无法计算。</x:v>
      </x:c>
      <x:c r="J33" s="51" t="str">
        <x:v>转让资金不进入发行人；比值缺任一金额时保持null。</x:v>
      </x:c>
      <x:c r="K33" s="51" t="str">
        <x:v>Stage6B研究判断</x:v>
      </x:c>
    </x:row>
    <x:row r="34" ht="108" customHeight="1">
      <x:c r="A34" s="53" t="str">
        <x:v>688775</x:v>
      </x:c>
      <x:c r="B34" s="53" t="str">
        <x:v>影石创新</x:v>
      </x:c>
      <x:c r="C34" s="53" t="str">
        <x:v>S5</x:v>
      </x:c>
      <x:c r="D34" s="53" t="str">
        <x:v>数据质量与证据完备性</x:v>
      </x:c>
      <x:c r="E34" s="51" t="n">
        <x:v>0</x:v>
      </x:c>
      <x:c r="F34" s="51" t="str">
        <x:v>SCORED</x:v>
      </x:c>
      <x:c r="G34" s="51" t="str">
        <x:v>CV027=0; CV028=null; CV029=null; CV030=null; CV031=null; CV032=1; warnings=1</x:v>
      </x:c>
      <x:c r="H34" s="51" t="str">
        <x:v>质量变量本身</x:v>
      </x:c>
      <x:c r="I34" s="51" t="str">
        <x:v>已知金额轮数0，金额/日期/来源结构/证据密度均结构不适用，且披露限制标记为1。</x:v>
      </x:c>
      <x:c r="J34" s="51" t="str">
        <x:v>S5只评价数据解释条件，不评价公司经营质量或投资吸引力。</x:v>
      </x:c>
      <x:c r="K34" s="51" t="str">
        <x:v>Stage6B研究判断</x:v>
      </x:c>
    </x:row>
    <x:row r="35" ht="108" customHeight="1">
      <x:c r="A35" s="53" t="str">
        <x:v>920100</x:v>
      </x:c>
      <x:c r="B35" s="53" t="str">
        <x:v>三协电机</x:v>
      </x:c>
      <x:c r="C35" s="53" t="str">
        <x:v>S1</x:v>
      </x:c>
      <x:c r="D35" s="53" t="str">
        <x:v>融资画像差异</x:v>
      </x:c>
      <x:c r="E35" s="51" t="n">
        <x:v>2</x:v>
      </x:c>
      <x:c r="F35" s="51" t="str">
        <x:v>SCORED</x:v>
      </x:c>
      <x:c r="G35" s="51" t="str">
        <x:v>CV002=2; CV003=4097.49[VALID]; CV005=2048.745; CV007=2374.4; CV008=0.5795; CV028=1; CV030=0; CV032=0</x:v>
      </x:c>
      <x:c r="H35" s="51" t="str">
        <x:v>CV027/CV028/CV030/CV032</x:v>
      </x:c>
      <x:c r="I35" s="51" t="str">
        <x:v>2轮、金额下限4,097.49万元，最大轮占57.9%，形成较低规模且相对均衡的多轮组合。</x:v>
      </x:c>
      <x:c r="J35" s="51" t="str">
        <x:v>金额为可核验下限；单轮公司的均值/最大值/集中度存在机械重合。</x:v>
      </x:c>
      <x:c r="K35" s="51" t="str">
        <x:v>Stage6B研究判断</x:v>
      </x:c>
    </x:row>
    <x:row r="36" ht="108" customHeight="1">
      <x:c r="A36" s="53" t="str">
        <x:v>920100</x:v>
      </x:c>
      <x:c r="B36" s="53" t="str">
        <x:v>三协电机</x:v>
      </x:c>
      <x:c r="C36" s="53" t="str">
        <x:v>S2</x:v>
      </x:c>
      <x:c r="D36" s="53" t="str">
        <x:v>PE/VC参与与路径独特性</x:v>
      </x:c>
      <x:c r="E36" s="51" t="n">
        <x:v>1</x:v>
      </x:c>
      <x:c r="F36" s="51" t="str">
        <x:v>SCORED</x:v>
      </x:c>
      <x:c r="G36" s="51" t="str">
        <x:v>CV011=1; CV012=2; CV013=0.1176; CV014=1; CV015=2022-09-01[VALID]; CV017=0.5; CV018=0; CV019=1</x:v>
      </x:c>
      <x:c r="H36" s="51" t="str">
        <x:v>路径证据、适用N、warning_code</x:v>
      </x:c>
      <x:c r="I36" s="51" t="str">
        <x:v>确认2个PE/VC法律主体、参与1轮，2022年直接进入；路径信息来自补充摘要，方式多样性有限。</x:v>
      </x:c>
      <x:c r="J36" s="51" t="str">
        <x:v>未确认PE/VC不等于绝对不存在；法律主体不等于投资体系。</x:v>
      </x:c>
      <x:c r="K36" s="51" t="str">
        <x:v>Stage6B研究判断</x:v>
      </x:c>
    </x:row>
    <x:row r="37" ht="108" customHeight="1">
      <x:c r="A37" s="53" t="str">
        <x:v>920100</x:v>
      </x:c>
      <x:c r="B37" s="53" t="str">
        <x:v>三协电机</x:v>
      </x:c>
      <x:c r="C37" s="53" t="str">
        <x:v>S3</x:v>
      </x:c>
      <x:c r="D37" s="53" t="str">
        <x:v>参与主体结构丰富度</x:v>
      </x:c>
      <x:c r="E37" s="51" t="n">
        <x:v>1</x:v>
      </x:c>
      <x:c r="F37" s="51" t="str">
        <x:v>SCORED</x:v>
      </x:c>
      <x:c r="G37" s="51" t="str">
        <x:v>CV020=17; CV021=2; CV022=1[VALID]</x:v>
      </x:c>
      <x:c r="H37" s="51" t="str">
        <x:v>CV002与角色/简称警告</x:v>
      </x:c>
      <x:c r="I37" s="51" t="str">
        <x:v>直接主体17、融资投资方2、密度1，提供一个可解释结构维度。</x:v>
      </x:c>
      <x:c r="J37" s="51" t="str">
        <x:v>主体数量不代表治理质量或融资质量。</x:v>
      </x:c>
      <x:c r="K37" s="51" t="str">
        <x:v>Stage6B研究判断</x:v>
      </x:c>
    </x:row>
    <x:row r="38" ht="108" customHeight="1">
      <x:c r="A38" s="53" t="str">
        <x:v>920100</x:v>
      </x:c>
      <x:c r="B38" s="53" t="str">
        <x:v>三协电机</x:v>
      </x:c>
      <x:c r="C38" s="53" t="str">
        <x:v>S4</x:v>
      </x:c>
      <x:c r="D38" s="53" t="str">
        <x:v>一级/二级交易差异</x:v>
      </x:c>
      <x:c r="E38" s="51" t="n">
        <x:v>0</x:v>
      </x:c>
      <x:c r="F38" s="51" t="str">
        <x:v>SCORED</x:v>
      </x:c>
      <x:c r="G38" s="51" t="str">
        <x:v>CV024=0; CV025=null[STRUCTURAL_NA]; CV026=null[STRUCTURAL_NA]</x:v>
      </x:c>
      <x:c r="H38" s="51" t="str">
        <x:v>CV003/CV025及金额状态</x:v>
      </x:c>
      <x:c r="I38" s="51" t="str">
        <x:v>股权转让交易数为有效0，金额和比值结构不适用。</x:v>
      </x:c>
      <x:c r="J38" s="51" t="str">
        <x:v>转让资金不进入发行人；比值缺任一金额时保持null。</x:v>
      </x:c>
      <x:c r="K38" s="51" t="str">
        <x:v>Stage6B研究判断</x:v>
      </x:c>
    </x:row>
    <x:row r="39" ht="108" customHeight="1">
      <x:c r="A39" s="53" t="str">
        <x:v>920100</x:v>
      </x:c>
      <x:c r="B39" s="53" t="str">
        <x:v>三协电机</x:v>
      </x:c>
      <x:c r="C39" s="53" t="str">
        <x:v>S5</x:v>
      </x:c>
      <x:c r="D39" s="53" t="str">
        <x:v>数据质量与证据完备性</x:v>
      </x:c>
      <x:c r="E39" s="51" t="n">
        <x:v>1</x:v>
      </x:c>
      <x:c r="F39" s="51" t="str">
        <x:v>SCORED</x:v>
      </x:c>
      <x:c r="G39" s="51" t="str">
        <x:v>CV027=2; CV028=1; CV029=1; CV030=0; CV031=0; CV032=0; warnings=5</x:v>
      </x:c>
      <x:c r="H39" s="51" t="str">
        <x:v>质量变量本身</x:v>
      </x:c>
      <x:c r="I39" s="51" t="str">
        <x:v>金额和日期覆盖完整、计算型金额占0，但证据密度为有效0且存在summary-only证据桥警告。</x:v>
      </x:c>
      <x:c r="J39" s="51" t="str">
        <x:v>S5只评价数据解释条件，不评价公司经营质量或投资吸引力。</x:v>
      </x:c>
      <x:c r="K39" s="51" t="str">
        <x:v>Stage6B研究判断</x:v>
      </x:c>
    </x:row>
    <x:row r="40" ht="108" customHeight="1">
      <x:c r="A40" s="53" t="str">
        <x:v>920116</x:v>
      </x:c>
      <x:c r="B40" s="53" t="str">
        <x:v>星图测控</x:v>
      </x:c>
      <x:c r="C40" s="53" t="str">
        <x:v>S1</x:v>
      </x:c>
      <x:c r="D40" s="53" t="str">
        <x:v>融资画像差异</x:v>
      </x:c>
      <x:c r="E40" s="51" t="n">
        <x:v>1</x:v>
      </x:c>
      <x:c r="F40" s="51" t="str">
        <x:v>SCORED</x:v>
      </x:c>
      <x:c r="G40" s="51" t="str">
        <x:v>CV002=1; CV003=4725[VALID]; CV005=4725; CV007=4725; CV008=1; CV028=1; CV030=0; CV032=0</x:v>
      </x:c>
      <x:c r="H40" s="51" t="str">
        <x:v>CV027/CV028/CV030/CV032</x:v>
      </x:c>
      <x:c r="I40" s="51" t="str">
        <x:v>仅1轮；均值、最大值和集中度由单轮机械决定。融资规模可描述，但轴内独立信息有限。</x:v>
      </x:c>
      <x:c r="J40" s="51" t="str">
        <x:v>金额为可核验下限；单轮公司的均值/最大值/集中度存在机械重合。</x:v>
      </x:c>
      <x:c r="K40" s="51" t="str">
        <x:v>Stage6B研究判断</x:v>
      </x:c>
    </x:row>
    <x:row r="41" ht="108" customHeight="1">
      <x:c r="A41" s="53" t="str">
        <x:v>920116</x:v>
      </x:c>
      <x:c r="B41" s="53" t="str">
        <x:v>星图测控</x:v>
      </x:c>
      <x:c r="C41" s="53" t="str">
        <x:v>S2</x:v>
      </x:c>
      <x:c r="D41" s="53" t="str">
        <x:v>PE/VC参与与路径独特性</x:v>
      </x:c>
      <x:c r="E41" s="51" t="n">
        <x:v>0</x:v>
      </x:c>
      <x:c r="F41" s="51" t="str">
        <x:v>SCORED</x:v>
      </x:c>
      <x:c r="G41" s="51" t="str">
        <x:v>CV011=0; CV012=0; CV013=0; CV014=0; CV015=null[STRUCTURAL_NA]; CV017=null; CV018=0; CV019=0</x:v>
      </x:c>
      <x:c r="H41" s="51" t="str">
        <x:v>路径证据、适用N、warning_code</x:v>
      </x:c>
      <x:c r="I41" s="51" t="str">
        <x:v>冻结口径内未确认PE/VC，进入时点结构不适用；不形成PE/VC路径组合。</x:v>
      </x:c>
      <x:c r="J41" s="51" t="str">
        <x:v>未确认PE/VC不等于绝对不存在；法律主体不等于投资体系。</x:v>
      </x:c>
      <x:c r="K41" s="51" t="str">
        <x:v>Stage6B研究判断</x:v>
      </x:c>
    </x:row>
    <x:row r="42" ht="108" customHeight="1">
      <x:c r="A42" s="53" t="str">
        <x:v>920116</x:v>
      </x:c>
      <x:c r="B42" s="53" t="str">
        <x:v>星图测控</x:v>
      </x:c>
      <x:c r="C42" s="53" t="str">
        <x:v>S3</x:v>
      </x:c>
      <x:c r="D42" s="53" t="str">
        <x:v>参与主体结构丰富度</x:v>
      </x:c>
      <x:c r="E42" s="51" t="n">
        <x:v>1</x:v>
      </x:c>
      <x:c r="F42" s="51" t="str">
        <x:v>SCORED</x:v>
      </x:c>
      <x:c r="G42" s="51" t="str">
        <x:v>CV020=3; CV021=3; CV022=3[VALID]</x:v>
      </x:c>
      <x:c r="H42" s="51" t="str">
        <x:v>CV002与角色/简称警告</x:v>
      </x:c>
      <x:c r="I42" s="51" t="str">
        <x:v>直接主体3、融资投资方3、单轮密度3，形成单轮参与方较多的结构特征，但密度具有单轮机械性。</x:v>
      </x:c>
      <x:c r="J42" s="51" t="str">
        <x:v>主体数量不代表治理质量或融资质量。</x:v>
      </x:c>
      <x:c r="K42" s="51" t="str">
        <x:v>Stage6B研究判断</x:v>
      </x:c>
    </x:row>
    <x:row r="43" ht="108" customHeight="1">
      <x:c r="A43" s="53" t="str">
        <x:v>920116</x:v>
      </x:c>
      <x:c r="B43" s="53" t="str">
        <x:v>星图测控</x:v>
      </x:c>
      <x:c r="C43" s="53" t="str">
        <x:v>S4</x:v>
      </x:c>
      <x:c r="D43" s="53" t="str">
        <x:v>一级/二级交易差异</x:v>
      </x:c>
      <x:c r="E43" s="51" t="n">
        <x:v>0</x:v>
      </x:c>
      <x:c r="F43" s="51" t="str">
        <x:v>SCORED</x:v>
      </x:c>
      <x:c r="G43" s="51" t="str">
        <x:v>CV024=0; CV025=null[STRUCTURAL_NA]; CV026=null[STRUCTURAL_NA]</x:v>
      </x:c>
      <x:c r="H43" s="51" t="str">
        <x:v>CV003/CV025及金额状态</x:v>
      </x:c>
      <x:c r="I43" s="51" t="str">
        <x:v>股权转让交易数为有效0，金额和比值结构不适用。</x:v>
      </x:c>
      <x:c r="J43" s="51" t="str">
        <x:v>转让资金不进入发行人；比值缺任一金额时保持null。</x:v>
      </x:c>
      <x:c r="K43" s="51" t="str">
        <x:v>Stage6B研究判断</x:v>
      </x:c>
    </x:row>
    <x:row r="44" ht="108" customHeight="1">
      <x:c r="A44" s="54" t="str">
        <x:v>920116</x:v>
      </x:c>
      <x:c r="B44" s="54" t="str">
        <x:v>星图测控</x:v>
      </x:c>
      <x:c r="C44" s="54" t="str">
        <x:v>S5</x:v>
      </x:c>
      <x:c r="D44" s="54" t="str">
        <x:v>数据质量与证据完备性</x:v>
      </x:c>
      <x:c r="E44" s="52" t="n">
        <x:v>2</x:v>
      </x:c>
      <x:c r="F44" s="52" t="str">
        <x:v>SCORED</x:v>
      </x:c>
      <x:c r="G44" s="52" t="str">
        <x:v>CV027=1; CV028=1; CV029=1; CV030=0; CV031=5; CV032=0; warnings=2</x:v>
      </x:c>
      <x:c r="H44" s="52" t="str">
        <x:v>质量变量本身</x:v>
      </x:c>
      <x:c r="I44" s="52" t="str">
        <x:v>金额和日期覆盖完整、计算型金额占0、证据密度5且无披露限制；主体名称桥接警告需保留。</x:v>
      </x:c>
      <x:c r="J44" s="52" t="str">
        <x:v>S5只评价数据解释条件，不评价公司经营质量或投资吸引力。</x:v>
      </x:c>
      <x:c r="K44" s="52" t="str">
        <x:v>Stage6B研究判断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28" hidden="0" customWidth="1"/>
    <x:col min="5" max="5" width="30" hidden="0" customWidth="1"/>
    <x:col min="6" max="6" width="80" hidden="0" customWidth="1"/>
    <x:col min="7" max="7" width="62" hidden="0" customWidth="1"/>
    <x:col min="8" max="8" width="24" hidden="0" customWidth="1"/>
  </x:cols>
  <x:sheetData>
    <x:row r="1" ht="32" customHeight="1">
      <x:c r="A1" s="3" t="str">
        <x:v>32项公司—闸门判定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8家公司×G0—G3；闸门决定后续案例角色，不形成公司排名。</x:v>
      </x:c>
      <x:c r="B2" s="7"/>
      <x:c r="C2" s="7"/>
      <x:c r="D2" s="7"/>
      <x:c r="E2" s="7"/>
      <x:c r="F2" s="7"/>
      <x:c r="G2" s="7"/>
      <x:c r="H2" s="7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2" customHeight="1">
      <x:c r="A4" s="40" t="str">
        <x:v>公司ID</x:v>
      </x:c>
      <x:c r="B4" s="41" t="str">
        <x:v>公司名称</x:v>
      </x:c>
      <x:c r="C4" s="41" t="str">
        <x:v>闸门</x:v>
      </x:c>
      <x:c r="D4" s="41" t="str">
        <x:v>闸门名称</x:v>
      </x:c>
      <x:c r="E4" s="41" t="str">
        <x:v>判定</x:v>
      </x:c>
      <x:c r="F4" s="41" t="str">
        <x:v>证据</x:v>
      </x:c>
      <x:c r="G4" s="41" t="str">
        <x:v>处理规则</x:v>
      </x:c>
      <x:c r="H4" s="42" t="str">
        <x:v>判断层</x:v>
      </x:c>
    </x:row>
    <x:row r="5" ht="88" customHeight="1">
      <x:c r="A5" s="47" t="str">
        <x:v>001282</x:v>
      </x:c>
      <x:c r="B5" s="47" t="str">
        <x:v>三联锻造</x:v>
      </x:c>
      <x:c r="C5" s="47" t="str">
        <x:v>G0</x:v>
      </x:c>
      <x:c r="D5" s="47" t="str">
        <x:v>关键可计算性</x:v>
      </x:c>
      <x:c r="E5" s="51" t="str">
        <x:v>PASS_CORE</x:v>
      </x:c>
      <x:c r="F5" s="51" t="str">
        <x:v>核心有效=8/8；核心不可计算=0；轴变量NOT_COMPUTABLE=0。</x:v>
      </x:c>
      <x:c r="G5" s="51" t="str">
        <x:v>不满足者仅可转为方法/缺失边界案例。</x:v>
      </x:c>
      <x:c r="H5" s="51" t="str">
        <x:v>Stage6B研究判断</x:v>
      </x:c>
    </x:row>
    <x:row r="6" ht="88" customHeight="1">
      <x:c r="A6" s="47" t="str">
        <x:v>001282</x:v>
      </x:c>
      <x:c r="B6" s="47" t="str">
        <x:v>三联锻造</x:v>
      </x:c>
      <x:c r="C6" s="47" t="str">
        <x:v>G1</x:v>
      </x:c>
      <x:c r="D6" s="47" t="str">
        <x:v>实质差异</x:v>
      </x:c>
      <x:c r="E6" s="51" t="str">
        <x:v>PASS_CONTRAST</x:v>
      </x:c>
      <x:c r="F6" s="51" t="str">
        <x:v>S1—S5向量=1|0|0|0|1；至少一个实体轴具有非单金额的可解释差异。</x:v>
      </x:c>
      <x:c r="G6" s="51" t="str">
        <x:v>差异不得仅由融资金额极值构成。</x:v>
      </x:c>
      <x:c r="H6" s="51" t="str">
        <x:v>Stage6B研究判断</x:v>
      </x:c>
    </x:row>
    <x:row r="7" ht="88" customHeight="1">
      <x:c r="A7" s="47" t="str">
        <x:v>001282</x:v>
      </x:c>
      <x:c r="B7" s="47" t="str">
        <x:v>三联锻造</x:v>
      </x:c>
      <x:c r="C7" s="47" t="str">
        <x:v>G2</x:v>
      </x:c>
      <x:c r="D7" s="47" t="str">
        <x:v>证据可审计</x:v>
      </x:c>
      <x:c r="E7" s="51" t="str">
        <x:v>PASS_WITH_LIMITATION</x:v>
      </x:c>
      <x:c r="F7" s="51" t="str">
        <x:v>CV031=2[VALID]; CV032=1; warning=2。</x:v>
      </x:c>
      <x:c r="G7" s="51" t="str">
        <x:v>warning触发说明，不自动扣分。</x:v>
      </x:c>
      <x:c r="H7" s="51" t="str">
        <x:v>Stage6B研究判断</x:v>
      </x:c>
    </x:row>
    <x:row r="8" ht="88" customHeight="1">
      <x:c r="A8" s="47" t="str">
        <x:v>001282</x:v>
      </x:c>
      <x:c r="B8" s="47" t="str">
        <x:v>三联锻造</x:v>
      </x:c>
      <x:c r="C8" s="47" t="str">
        <x:v>G3</x:v>
      </x:c>
      <x:c r="D8" s="47" t="str">
        <x:v>反单指标选择</x:v>
      </x:c>
      <x:c r="E8" s="51" t="str">
        <x:v>PASS_RULE_APPLIED</x:v>
      </x:c>
      <x:c r="F8" s="51" t="str">
        <x:v>本工作簿不设置公司总分、不排序；判断同时引用实体轴、质量轴和解释边界。</x:v>
      </x:c>
      <x:c r="G8" s="51" t="str">
        <x:v>不得把轴评分相加形成排名。</x:v>
      </x:c>
      <x:c r="H8" s="51" t="str">
        <x:v>Stage6B研究判断</x:v>
      </x:c>
    </x:row>
    <x:row r="9" ht="88" customHeight="1">
      <x:c r="A9" s="47" t="str">
        <x:v>301563</x:v>
      </x:c>
      <x:c r="B9" s="47" t="str">
        <x:v>云汉芯城</x:v>
      </x:c>
      <x:c r="C9" s="47" t="str">
        <x:v>G0</x:v>
      </x:c>
      <x:c r="D9" s="47" t="str">
        <x:v>关键可计算性</x:v>
      </x:c>
      <x:c r="E9" s="51" t="str">
        <x:v>PASS_CORE</x:v>
      </x:c>
      <x:c r="F9" s="51" t="str">
        <x:v>核心有效=8/8；核心不可计算=0；轴变量NOT_COMPUTABLE=0。</x:v>
      </x:c>
      <x:c r="G9" s="51" t="str">
        <x:v>不满足者仅可转为方法/缺失边界案例。</x:v>
      </x:c>
      <x:c r="H9" s="51" t="str">
        <x:v>Stage6B研究判断</x:v>
      </x:c>
    </x:row>
    <x:row r="10" ht="88" customHeight="1">
      <x:c r="A10" s="47" t="str">
        <x:v>301563</x:v>
      </x:c>
      <x:c r="B10" s="47" t="str">
        <x:v>云汉芯城</x:v>
      </x:c>
      <x:c r="C10" s="47" t="str">
        <x:v>G1</x:v>
      </x:c>
      <x:c r="D10" s="47" t="str">
        <x:v>实质差异</x:v>
      </x:c>
      <x:c r="E10" s="51" t="str">
        <x:v>PASS</x:v>
      </x:c>
      <x:c r="F10" s="51" t="str">
        <x:v>S1—S5向量=2|2|2|2|1；至少一个实体轴具有非单金额的可解释差异。</x:v>
      </x:c>
      <x:c r="G10" s="51" t="str">
        <x:v>差异不得仅由融资金额极值构成。</x:v>
      </x:c>
      <x:c r="H10" s="51" t="str">
        <x:v>Stage6B研究判断</x:v>
      </x:c>
    </x:row>
    <x:row r="11" ht="88" customHeight="1">
      <x:c r="A11" s="47" t="str">
        <x:v>301563</x:v>
      </x:c>
      <x:c r="B11" s="47" t="str">
        <x:v>云汉芯城</x:v>
      </x:c>
      <x:c r="C11" s="47" t="str">
        <x:v>G2</x:v>
      </x:c>
      <x:c r="D11" s="47" t="str">
        <x:v>证据可审计</x:v>
      </x:c>
      <x:c r="E11" s="51" t="str">
        <x:v>PASS_WITH_LIMITATION</x:v>
      </x:c>
      <x:c r="F11" s="51" t="str">
        <x:v>CV031=2.8571[VALID]; CV032=1; warning=2。</x:v>
      </x:c>
      <x:c r="G11" s="51" t="str">
        <x:v>warning触发说明，不自动扣分。</x:v>
      </x:c>
      <x:c r="H11" s="51" t="str">
        <x:v>Stage6B研究判断</x:v>
      </x:c>
    </x:row>
    <x:row r="12" ht="88" customHeight="1">
      <x:c r="A12" s="47" t="str">
        <x:v>301563</x:v>
      </x:c>
      <x:c r="B12" s="47" t="str">
        <x:v>云汉芯城</x:v>
      </x:c>
      <x:c r="C12" s="47" t="str">
        <x:v>G3</x:v>
      </x:c>
      <x:c r="D12" s="47" t="str">
        <x:v>反单指标选择</x:v>
      </x:c>
      <x:c r="E12" s="51" t="str">
        <x:v>PASS_RULE_APPLIED</x:v>
      </x:c>
      <x:c r="F12" s="51" t="str">
        <x:v>本工作簿不设置公司总分、不排序；判断同时引用实体轴、质量轴和解释边界。</x:v>
      </x:c>
      <x:c r="G12" s="51" t="str">
        <x:v>不得把轴评分相加形成排名。</x:v>
      </x:c>
      <x:c r="H12" s="51" t="str">
        <x:v>Stage6B研究判断</x:v>
      </x:c>
    </x:row>
    <x:row r="13" ht="88" customHeight="1">
      <x:c r="A13" s="47" t="str">
        <x:v>301581</x:v>
      </x:c>
      <x:c r="B13" s="47" t="str">
        <x:v>黄山谷捷</x:v>
      </x:c>
      <x:c r="C13" s="47" t="str">
        <x:v>G0</x:v>
      </x:c>
      <x:c r="D13" s="47" t="str">
        <x:v>关键可计算性</x:v>
      </x:c>
      <x:c r="E13" s="51" t="str">
        <x:v>PASS_CORE</x:v>
      </x:c>
      <x:c r="F13" s="51" t="str">
        <x:v>核心有效=8/8；核心不可计算=0；轴变量NOT_COMPUTABLE=0。</x:v>
      </x:c>
      <x:c r="G13" s="51" t="str">
        <x:v>不满足者仅可转为方法/缺失边界案例。</x:v>
      </x:c>
      <x:c r="H13" s="51" t="str">
        <x:v>Stage6B研究判断</x:v>
      </x:c>
    </x:row>
    <x:row r="14" ht="88" customHeight="1">
      <x:c r="A14" s="47" t="str">
        <x:v>301581</x:v>
      </x:c>
      <x:c r="B14" s="47" t="str">
        <x:v>黄山谷捷</x:v>
      </x:c>
      <x:c r="C14" s="47" t="str">
        <x:v>G1</x:v>
      </x:c>
      <x:c r="D14" s="47" t="str">
        <x:v>实质差异</x:v>
      </x:c>
      <x:c r="E14" s="51" t="str">
        <x:v>PASS</x:v>
      </x:c>
      <x:c r="F14" s="51" t="str">
        <x:v>S1—S5向量=2|0|1|1|1；至少一个实体轴具有非单金额的可解释差异。</x:v>
      </x:c>
      <x:c r="G14" s="51" t="str">
        <x:v>差异不得仅由融资金额极值构成。</x:v>
      </x:c>
      <x:c r="H14" s="51" t="str">
        <x:v>Stage6B研究判断</x:v>
      </x:c>
    </x:row>
    <x:row r="15" ht="88" customHeight="1">
      <x:c r="A15" s="47" t="str">
        <x:v>301581</x:v>
      </x:c>
      <x:c r="B15" s="47" t="str">
        <x:v>黄山谷捷</x:v>
      </x:c>
      <x:c r="C15" s="47" t="str">
        <x:v>G2</x:v>
      </x:c>
      <x:c r="D15" s="47" t="str">
        <x:v>证据可审计</x:v>
      </x:c>
      <x:c r="E15" s="51" t="str">
        <x:v>PASS</x:v>
      </x:c>
      <x:c r="F15" s="51" t="str">
        <x:v>CV031=1[VALID]; CV032=0; warning=2。</x:v>
      </x:c>
      <x:c r="G15" s="51" t="str">
        <x:v>warning触发说明，不自动扣分。</x:v>
      </x:c>
      <x:c r="H15" s="51" t="str">
        <x:v>Stage6B研究判断</x:v>
      </x:c>
    </x:row>
    <x:row r="16" ht="88" customHeight="1">
      <x:c r="A16" s="47" t="str">
        <x:v>301581</x:v>
      </x:c>
      <x:c r="B16" s="47" t="str">
        <x:v>黄山谷捷</x:v>
      </x:c>
      <x:c r="C16" s="47" t="str">
        <x:v>G3</x:v>
      </x:c>
      <x:c r="D16" s="47" t="str">
        <x:v>反单指标选择</x:v>
      </x:c>
      <x:c r="E16" s="51" t="str">
        <x:v>PASS_RULE_APPLIED</x:v>
      </x:c>
      <x:c r="F16" s="51" t="str">
        <x:v>本工作簿不设置公司总分、不排序；判断同时引用实体轴、质量轴和解释边界。</x:v>
      </x:c>
      <x:c r="G16" s="51" t="str">
        <x:v>不得把轴评分相加形成排名。</x:v>
      </x:c>
      <x:c r="H16" s="51" t="str">
        <x:v>Stage6B研究判断</x:v>
      </x:c>
    </x:row>
    <x:row r="17" ht="88" customHeight="1">
      <x:c r="A17" s="47" t="str">
        <x:v>603418</x:v>
      </x:c>
      <x:c r="B17" s="47" t="str">
        <x:v>友升股份</x:v>
      </x:c>
      <x:c r="C17" s="47" t="str">
        <x:v>G0</x:v>
      </x:c>
      <x:c r="D17" s="47" t="str">
        <x:v>关键可计算性</x:v>
      </x:c>
      <x:c r="E17" s="51" t="str">
        <x:v>PASS_CORE</x:v>
      </x:c>
      <x:c r="F17" s="51" t="str">
        <x:v>核心有效=8/8；核心不可计算=0；轴变量NOT_COMPUTABLE=0。</x:v>
      </x:c>
      <x:c r="G17" s="51" t="str">
        <x:v>不满足者仅可转为方法/缺失边界案例。</x:v>
      </x:c>
      <x:c r="H17" s="51" t="str">
        <x:v>Stage6B研究判断</x:v>
      </x:c>
    </x:row>
    <x:row r="18" ht="88" customHeight="1">
      <x:c r="A18" s="47" t="str">
        <x:v>603418</x:v>
      </x:c>
      <x:c r="B18" s="47" t="str">
        <x:v>友升股份</x:v>
      </x:c>
      <x:c r="C18" s="47" t="str">
        <x:v>G1</x:v>
      </x:c>
      <x:c r="D18" s="47" t="str">
        <x:v>实质差异</x:v>
      </x:c>
      <x:c r="E18" s="51" t="str">
        <x:v>PASS</x:v>
      </x:c>
      <x:c r="F18" s="51" t="str">
        <x:v>S1—S5向量=2|1|1|0|1；至少一个实体轴具有非单金额的可解释差异。</x:v>
      </x:c>
      <x:c r="G18" s="51" t="str">
        <x:v>差异不得仅由融资金额极值构成。</x:v>
      </x:c>
      <x:c r="H18" s="51" t="str">
        <x:v>Stage6B研究判断</x:v>
      </x:c>
    </x:row>
    <x:row r="19" ht="88" customHeight="1">
      <x:c r="A19" s="47" t="str">
        <x:v>603418</x:v>
      </x:c>
      <x:c r="B19" s="47" t="str">
        <x:v>友升股份</x:v>
      </x:c>
      <x:c r="C19" s="47" t="str">
        <x:v>G2</x:v>
      </x:c>
      <x:c r="D19" s="47" t="str">
        <x:v>证据可审计</x:v>
      </x:c>
      <x:c r="E19" s="51" t="str">
        <x:v>PASS_WITH_WARNING</x:v>
      </x:c>
      <x:c r="F19" s="51" t="str">
        <x:v>CV031=1.5[VALID]; CV032=0; warning=4。</x:v>
      </x:c>
      <x:c r="G19" s="51" t="str">
        <x:v>warning触发说明，不自动扣分。</x:v>
      </x:c>
      <x:c r="H19" s="51" t="str">
        <x:v>Stage6B研究判断</x:v>
      </x:c>
    </x:row>
    <x:row r="20" ht="88" customHeight="1">
      <x:c r="A20" s="47" t="str">
        <x:v>603418</x:v>
      </x:c>
      <x:c r="B20" s="47" t="str">
        <x:v>友升股份</x:v>
      </x:c>
      <x:c r="C20" s="47" t="str">
        <x:v>G3</x:v>
      </x:c>
      <x:c r="D20" s="47" t="str">
        <x:v>反单指标选择</x:v>
      </x:c>
      <x:c r="E20" s="51" t="str">
        <x:v>PASS_RULE_APPLIED</x:v>
      </x:c>
      <x:c r="F20" s="51" t="str">
        <x:v>本工作簿不设置公司总分、不排序；判断同时引用实体轴、质量轴和解释边界。</x:v>
      </x:c>
      <x:c r="G20" s="51" t="str">
        <x:v>不得把轴评分相加形成排名。</x:v>
      </x:c>
      <x:c r="H20" s="51" t="str">
        <x:v>Stage6B研究判断</x:v>
      </x:c>
    </x:row>
    <x:row r="21" ht="88" customHeight="1">
      <x:c r="A21" s="47" t="str">
        <x:v>688758</x:v>
      </x:c>
      <x:c r="B21" s="47" t="str">
        <x:v>赛分科技</x:v>
      </x:c>
      <x:c r="C21" s="47" t="str">
        <x:v>G0</x:v>
      </x:c>
      <x:c r="D21" s="47" t="str">
        <x:v>关键可计算性</x:v>
      </x:c>
      <x:c r="E21" s="51" t="str">
        <x:v>PASS_CORE</x:v>
      </x:c>
      <x:c r="F21" s="51" t="str">
        <x:v>核心有效=8/8；核心不可计算=0；轴变量NOT_COMPUTABLE=0。</x:v>
      </x:c>
      <x:c r="G21" s="51" t="str">
        <x:v>不满足者仅可转为方法/缺失边界案例。</x:v>
      </x:c>
      <x:c r="H21" s="51" t="str">
        <x:v>Stage6B研究判断</x:v>
      </x:c>
    </x:row>
    <x:row r="22" ht="88" customHeight="1">
      <x:c r="A22" s="47" t="str">
        <x:v>688758</x:v>
      </x:c>
      <x:c r="B22" s="47" t="str">
        <x:v>赛分科技</x:v>
      </x:c>
      <x:c r="C22" s="47" t="str">
        <x:v>G1</x:v>
      </x:c>
      <x:c r="D22" s="47" t="str">
        <x:v>实质差异</x:v>
      </x:c>
      <x:c r="E22" s="51" t="str">
        <x:v>PASS</x:v>
      </x:c>
      <x:c r="F22" s="51" t="str">
        <x:v>S1—S5向量=2|0|1|2|2；至少一个实体轴具有非单金额的可解释差异。</x:v>
      </x:c>
      <x:c r="G22" s="51" t="str">
        <x:v>差异不得仅由融资金额极值构成。</x:v>
      </x:c>
      <x:c r="H22" s="51" t="str">
        <x:v>Stage6B研究判断</x:v>
      </x:c>
    </x:row>
    <x:row r="23" ht="88" customHeight="1">
      <x:c r="A23" s="47" t="str">
        <x:v>688758</x:v>
      </x:c>
      <x:c r="B23" s="47" t="str">
        <x:v>赛分科技</x:v>
      </x:c>
      <x:c r="C23" s="47" t="str">
        <x:v>G2</x:v>
      </x:c>
      <x:c r="D23" s="47" t="str">
        <x:v>证据可审计</x:v>
      </x:c>
      <x:c r="E23" s="51" t="str">
        <x:v>PASS</x:v>
      </x:c>
      <x:c r="F23" s="51" t="str">
        <x:v>CV031=1[VALID]; CV032=0; warning=2。</x:v>
      </x:c>
      <x:c r="G23" s="51" t="str">
        <x:v>warning触发说明，不自动扣分。</x:v>
      </x:c>
      <x:c r="H23" s="51" t="str">
        <x:v>Stage6B研究判断</x:v>
      </x:c>
    </x:row>
    <x:row r="24" ht="88" customHeight="1">
      <x:c r="A24" s="47" t="str">
        <x:v>688758</x:v>
      </x:c>
      <x:c r="B24" s="47" t="str">
        <x:v>赛分科技</x:v>
      </x:c>
      <x:c r="C24" s="47" t="str">
        <x:v>G3</x:v>
      </x:c>
      <x:c r="D24" s="47" t="str">
        <x:v>反单指标选择</x:v>
      </x:c>
      <x:c r="E24" s="51" t="str">
        <x:v>PASS_RULE_APPLIED</x:v>
      </x:c>
      <x:c r="F24" s="51" t="str">
        <x:v>本工作簿不设置公司总分、不排序；判断同时引用实体轴、质量轴和解释边界。</x:v>
      </x:c>
      <x:c r="G24" s="51" t="str">
        <x:v>不得把轴评分相加形成排名。</x:v>
      </x:c>
      <x:c r="H24" s="51" t="str">
        <x:v>Stage6B研究判断</x:v>
      </x:c>
    </x:row>
    <x:row r="25" ht="88" customHeight="1">
      <x:c r="A25" s="47" t="str">
        <x:v>688775</x:v>
      </x:c>
      <x:c r="B25" s="47" t="str">
        <x:v>影石创新</x:v>
      </x:c>
      <x:c r="C25" s="47" t="str">
        <x:v>G0</x:v>
      </x:c>
      <x:c r="D25" s="47" t="str">
        <x:v>关键可计算性</x:v>
      </x:c>
      <x:c r="E25" s="51" t="str">
        <x:v>LIMITED_METHOD_ONLY</x:v>
      </x:c>
      <x:c r="F25" s="51" t="str">
        <x:v>核心有效=7/8；核心不可计算=1；轴变量NOT_COMPUTABLE=2。</x:v>
      </x:c>
      <x:c r="G25" s="51" t="str">
        <x:v>不满足者仅可转为方法/缺失边界案例。</x:v>
      </x:c>
      <x:c r="H25" s="51" t="str">
        <x:v>Stage6B研究判断</x:v>
      </x:c>
    </x:row>
    <x:row r="26" ht="88" customHeight="1">
      <x:c r="A26" s="47" t="str">
        <x:v>688775</x:v>
      </x:c>
      <x:c r="B26" s="47" t="str">
        <x:v>影石创新</x:v>
      </x:c>
      <x:c r="C26" s="47" t="str">
        <x:v>G1</x:v>
      </x:c>
      <x:c r="D26" s="47" t="str">
        <x:v>实质差异</x:v>
      </x:c>
      <x:c r="E26" s="51" t="str">
        <x:v>BOUNDARY_ONLY</x:v>
      </x:c>
      <x:c r="F26" s="51" t="str">
        <x:v>S1关键规模不可计算；S4仅能形成转让与缺失边界，不作为核心实质案例。</x:v>
      </x:c>
      <x:c r="G26" s="51" t="str">
        <x:v>差异不得仅由融资金额极值构成。</x:v>
      </x:c>
      <x:c r="H26" s="51" t="str">
        <x:v>Stage6B研究判断</x:v>
      </x:c>
    </x:row>
    <x:row r="27" ht="88" customHeight="1">
      <x:c r="A27" s="47" t="str">
        <x:v>688775</x:v>
      </x:c>
      <x:c r="B27" s="47" t="str">
        <x:v>影石创新</x:v>
      </x:c>
      <x:c r="C27" s="47" t="str">
        <x:v>G2</x:v>
      </x:c>
      <x:c r="D27" s="47" t="str">
        <x:v>证据可审计</x:v>
      </x:c>
      <x:c r="E27" s="51" t="str">
        <x:v>LIMITED_BOUNDARY</x:v>
      </x:c>
      <x:c r="F27" s="51" t="str">
        <x:v>CV031=null[STRUCTURAL_NA]; CV032=1; warning=1。</x:v>
      </x:c>
      <x:c r="G27" s="51" t="str">
        <x:v>warning触发说明，不自动扣分。</x:v>
      </x:c>
      <x:c r="H27" s="51" t="str">
        <x:v>Stage6B研究判断</x:v>
      </x:c>
    </x:row>
    <x:row r="28" ht="88" customHeight="1">
      <x:c r="A28" s="47" t="str">
        <x:v>688775</x:v>
      </x:c>
      <x:c r="B28" s="47" t="str">
        <x:v>影石创新</x:v>
      </x:c>
      <x:c r="C28" s="47" t="str">
        <x:v>G3</x:v>
      </x:c>
      <x:c r="D28" s="47" t="str">
        <x:v>反单指标选择</x:v>
      </x:c>
      <x:c r="E28" s="51" t="str">
        <x:v>PASS_RULE_APPLIED</x:v>
      </x:c>
      <x:c r="F28" s="51" t="str">
        <x:v>本工作簿不设置公司总分、不排序；判断同时引用实体轴、质量轴和解释边界。</x:v>
      </x:c>
      <x:c r="G28" s="51" t="str">
        <x:v>不得把轴评分相加形成排名。</x:v>
      </x:c>
      <x:c r="H28" s="51" t="str">
        <x:v>Stage6B研究判断</x:v>
      </x:c>
    </x:row>
    <x:row r="29" ht="88" customHeight="1">
      <x:c r="A29" s="47" t="str">
        <x:v>920100</x:v>
      </x:c>
      <x:c r="B29" s="47" t="str">
        <x:v>三协电机</x:v>
      </x:c>
      <x:c r="C29" s="47" t="str">
        <x:v>G0</x:v>
      </x:c>
      <x:c r="D29" s="47" t="str">
        <x:v>关键可计算性</x:v>
      </x:c>
      <x:c r="E29" s="51" t="str">
        <x:v>PASS_CORE</x:v>
      </x:c>
      <x:c r="F29" s="51" t="str">
        <x:v>核心有效=8/8；核心不可计算=0；轴变量NOT_COMPUTABLE=0。</x:v>
      </x:c>
      <x:c r="G29" s="51" t="str">
        <x:v>不满足者仅可转为方法/缺失边界案例。</x:v>
      </x:c>
      <x:c r="H29" s="51" t="str">
        <x:v>Stage6B研究判断</x:v>
      </x:c>
    </x:row>
    <x:row r="30" ht="88" customHeight="1">
      <x:c r="A30" s="47" t="str">
        <x:v>920100</x:v>
      </x:c>
      <x:c r="B30" s="47" t="str">
        <x:v>三协电机</x:v>
      </x:c>
      <x:c r="C30" s="47" t="str">
        <x:v>G1</x:v>
      </x:c>
      <x:c r="D30" s="47" t="str">
        <x:v>实质差异</x:v>
      </x:c>
      <x:c r="E30" s="51" t="str">
        <x:v>PASS</x:v>
      </x:c>
      <x:c r="F30" s="51" t="str">
        <x:v>S1—S5向量=2|1|1|0|1；至少一个实体轴具有非单金额的可解释差异。</x:v>
      </x:c>
      <x:c r="G30" s="51" t="str">
        <x:v>差异不得仅由融资金额极值构成。</x:v>
      </x:c>
      <x:c r="H30" s="51" t="str">
        <x:v>Stage6B研究判断</x:v>
      </x:c>
    </x:row>
    <x:row r="31" ht="88" customHeight="1">
      <x:c r="A31" s="47" t="str">
        <x:v>920100</x:v>
      </x:c>
      <x:c r="B31" s="47" t="str">
        <x:v>三协电机</x:v>
      </x:c>
      <x:c r="C31" s="47" t="str">
        <x:v>G2</x:v>
      </x:c>
      <x:c r="D31" s="47" t="str">
        <x:v>证据可审计</x:v>
      </x:c>
      <x:c r="E31" s="51" t="str">
        <x:v>PASS_WITH_LIMITATION</x:v>
      </x:c>
      <x:c r="F31" s="51" t="str">
        <x:v>CV031=0[VALID]; CV032=0; warning=5。</x:v>
      </x:c>
      <x:c r="G31" s="51" t="str">
        <x:v>warning触发说明，不自动扣分。</x:v>
      </x:c>
      <x:c r="H31" s="51" t="str">
        <x:v>Stage6B研究判断</x:v>
      </x:c>
    </x:row>
    <x:row r="32" ht="88" customHeight="1">
      <x:c r="A32" s="47" t="str">
        <x:v>920100</x:v>
      </x:c>
      <x:c r="B32" s="47" t="str">
        <x:v>三协电机</x:v>
      </x:c>
      <x:c r="C32" s="47" t="str">
        <x:v>G3</x:v>
      </x:c>
      <x:c r="D32" s="47" t="str">
        <x:v>反单指标选择</x:v>
      </x:c>
      <x:c r="E32" s="51" t="str">
        <x:v>PASS_RULE_APPLIED</x:v>
      </x:c>
      <x:c r="F32" s="51" t="str">
        <x:v>本工作簿不设置公司总分、不排序；判断同时引用实体轴、质量轴和解释边界。</x:v>
      </x:c>
      <x:c r="G32" s="51" t="str">
        <x:v>不得把轴评分相加形成排名。</x:v>
      </x:c>
      <x:c r="H32" s="51" t="str">
        <x:v>Stage6B研究判断</x:v>
      </x:c>
    </x:row>
    <x:row r="33" ht="88" customHeight="1">
      <x:c r="A33" s="47" t="str">
        <x:v>920116</x:v>
      </x:c>
      <x:c r="B33" s="47" t="str">
        <x:v>星图测控</x:v>
      </x:c>
      <x:c r="C33" s="47" t="str">
        <x:v>G0</x:v>
      </x:c>
      <x:c r="D33" s="47" t="str">
        <x:v>关键可计算性</x:v>
      </x:c>
      <x:c r="E33" s="51" t="str">
        <x:v>PASS_CORE</x:v>
      </x:c>
      <x:c r="F33" s="51" t="str">
        <x:v>核心有效=8/8；核心不可计算=0；轴变量NOT_COMPUTABLE=0。</x:v>
      </x:c>
      <x:c r="G33" s="51" t="str">
        <x:v>不满足者仅可转为方法/缺失边界案例。</x:v>
      </x:c>
      <x:c r="H33" s="51" t="str">
        <x:v>Stage6B研究判断</x:v>
      </x:c>
    </x:row>
    <x:row r="34" ht="88" customHeight="1">
      <x:c r="A34" s="47" t="str">
        <x:v>920116</x:v>
      </x:c>
      <x:c r="B34" s="47" t="str">
        <x:v>星图测控</x:v>
      </x:c>
      <x:c r="C34" s="47" t="str">
        <x:v>G1</x:v>
      </x:c>
      <x:c r="D34" s="47" t="str">
        <x:v>实质差异</x:v>
      </x:c>
      <x:c r="E34" s="51" t="str">
        <x:v>PASS_CONTRAST</x:v>
      </x:c>
      <x:c r="F34" s="51" t="str">
        <x:v>S1—S5向量=1|0|1|0|2；至少一个实体轴具有非单金额的可解释差异。</x:v>
      </x:c>
      <x:c r="G34" s="51" t="str">
        <x:v>差异不得仅由融资金额极值构成。</x:v>
      </x:c>
      <x:c r="H34" s="51" t="str">
        <x:v>Stage6B研究判断</x:v>
      </x:c>
    </x:row>
    <x:row r="35" ht="88" customHeight="1">
      <x:c r="A35" s="47" t="str">
        <x:v>920116</x:v>
      </x:c>
      <x:c r="B35" s="47" t="str">
        <x:v>星图测控</x:v>
      </x:c>
      <x:c r="C35" s="47" t="str">
        <x:v>G2</x:v>
      </x:c>
      <x:c r="D35" s="47" t="str">
        <x:v>证据可审计</x:v>
      </x:c>
      <x:c r="E35" s="51" t="str">
        <x:v>PASS_WITH_WARNING</x:v>
      </x:c>
      <x:c r="F35" s="51" t="str">
        <x:v>CV031=5[VALID]; CV032=0; warning=2。</x:v>
      </x:c>
      <x:c r="G35" s="51" t="str">
        <x:v>warning触发说明，不自动扣分。</x:v>
      </x:c>
      <x:c r="H35" s="51" t="str">
        <x:v>Stage6B研究判断</x:v>
      </x:c>
    </x:row>
    <x:row r="36" ht="88" customHeight="1">
      <x:c r="A36" s="48" t="str">
        <x:v>920116</x:v>
      </x:c>
      <x:c r="B36" s="48" t="str">
        <x:v>星图测控</x:v>
      </x:c>
      <x:c r="C36" s="48" t="str">
        <x:v>G3</x:v>
      </x:c>
      <x:c r="D36" s="48" t="str">
        <x:v>反单指标选择</x:v>
      </x:c>
      <x:c r="E36" s="52" t="str">
        <x:v>PASS_RULE_APPLIED</x:v>
      </x:c>
      <x:c r="F36" s="52" t="str">
        <x:v>本工作簿不设置公司总分、不排序；判断同时引用实体轴、质量轴和解释边界。</x:v>
      </x:c>
      <x:c r="G36" s="52" t="str">
        <x:v>不得把轴评分相加形成排名。</x:v>
      </x:c>
      <x:c r="H36" s="52" t="str">
        <x:v>Stage6B研究判断</x:v>
      </x:c>
    </x:row>
  </x:sheetData>
  <x:mergeCells>
    <x:mergeCell ref="A1:H1"/>
    <x:mergeCell ref="A2:H2"/>
  </x:mergeCells>
  <x:conditionalFormatting sqref="E5:E36">
    <x:cfRule type="containsText" dxfId="2" priority="1" operator="containsText" text="PASS"/>
    <x:cfRule type="containsText" dxfId="3" priority="2" operator="containsText" text="LIMITED"/>
    <x:cfRule type="containsText" dxfId="4" priority="3" operator="containsText" text="BOUNDAR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84" hidden="0" customWidth="1"/>
    <x:col min="5" max="5" width="24" hidden="0" customWidth="1"/>
    <x:col min="6" max="6" width="24" hidden="0" customWidth="1"/>
    <x:col min="7" max="7" width="30" hidden="0" customWidth="1"/>
    <x:col min="8" max="8" width="24" hidden="0" customWidth="1"/>
    <x:col min="9" max="9" width="32" hidden="0" customWidth="1"/>
    <x:col min="10" max="10" width="62" hidden="0" customWidth="1"/>
    <x:col min="11" max="11" width="24" hidden="0" customWidth="1"/>
    <x:col min="12" max="12" width="62" hidden="0" customWidth="1"/>
  </x:cols>
  <x:sheetData>
    <x:row r="1" ht="32" customHeight="1">
      <x:c r="A1" s="3" t="str">
        <x:v>公司初评画像摘要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摘要保留轴向量、闸门和限制；“资格”仅表示能否进入Stage6C组合比较。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2" customHeight="1">
      <x:c r="A4" s="40" t="str">
        <x:v>公司ID</x:v>
      </x:c>
      <x:c r="B4" s="41" t="str">
        <x:v>公司名称</x:v>
      </x:c>
      <x:c r="C4" s="41" t="str">
        <x:v>轴向量</x:v>
      </x:c>
      <x:c r="D4" s="41" t="str">
        <x:v>差异画像</x:v>
      </x:c>
      <x:c r="E4" s="41" t="str">
        <x:v>G0</x:v>
      </x:c>
      <x:c r="F4" s="41" t="str">
        <x:v>G1</x:v>
      </x:c>
      <x:c r="G4" s="41" t="str">
        <x:v>G2</x:v>
      </x:c>
      <x:c r="H4" s="41" t="str">
        <x:v>G3</x:v>
      </x:c>
      <x:c r="I4" s="41" t="str">
        <x:v>Stage6B资格</x:v>
      </x:c>
      <x:c r="J4" s="41" t="str">
        <x:v>关键边界</x:v>
      </x:c>
      <x:c r="K4" s="41" t="str">
        <x:v>S6状态</x:v>
      </x:c>
      <x:c r="L4" s="42" t="str">
        <x:v>禁止用法</x:v>
      </x:c>
    </x:row>
    <x:row r="5" ht="112" customHeight="1">
      <x:c r="A5" s="47" t="str">
        <x:v>001282</x:v>
      </x:c>
      <x:c r="B5" s="47" t="str">
        <x:v>三联锻造</x:v>
      </x:c>
      <x:c r="C5" s="47" t="str">
        <x:f>'逐轴初评矩阵'!N5</x:f>
        <x:v>1|0|0|0|1</x:v>
      </x:c>
      <x:c r="D5" s="51" t="str">
        <x:v>单轮、低规模、无确认PE/VC、无转让；适合作为简单融资结构对照，但披露和计算来源限制明显。</x:v>
      </x:c>
      <x:c r="E5" s="51" t="str">
        <x:v>PASS_CORE</x:v>
      </x:c>
      <x:c r="F5" s="51" t="str">
        <x:v>PASS_CONTRAST</x:v>
      </x:c>
      <x:c r="G5" s="51" t="str">
        <x:v>PASS_WITH_LIMITATION</x:v>
      </x:c>
      <x:c r="H5" s="51" t="str">
        <x:v>PASS_RULE_APPLIED</x:v>
      </x:c>
      <x:c r="I5" s="51" t="str">
        <x:v>ELIGIBLE_WITH_LIMITATIONS</x:v>
      </x:c>
      <x:c r="J5" s="51" t="str">
        <x:v>公司级披露限制=1，解释需降级。</x:v>
      </x:c>
      <x:c r="K5" s="51" t="str">
        <x:v>PENDING_STAGE6C</x:v>
      </x:c>
      <x:c r="L5" s="51" t="str">
        <x:v>不得以分数之和或单一指标决定入选。</x:v>
      </x:c>
    </x:row>
    <x:row r="6" ht="112" customHeight="1">
      <x:c r="A6" s="47" t="str">
        <x:v>301563</x:v>
      </x:c>
      <x:c r="B6" s="47" t="str">
        <x:v>云汉芯城</x:v>
      </x:c>
      <x:c r="C6" s="47" t="str">
        <x:f>'逐轴初评矩阵'!N6</x:f>
        <x:v>2|2|2|2|1</x:v>
      </x:c>
      <x:c r="D6" s="51" t="str">
        <x:v>多轮、PE/VC参与深且路径多样、主体结构广、转让活跃；实体信息丰富但金额覆盖和披露限制明显。</x:v>
      </x:c>
      <x:c r="E6" s="51" t="str">
        <x:v>PASS_CORE</x:v>
      </x:c>
      <x:c r="F6" s="51" t="str">
        <x:v>PASS</x:v>
      </x:c>
      <x:c r="G6" s="51" t="str">
        <x:v>PASS_WITH_LIMITATION</x:v>
      </x:c>
      <x:c r="H6" s="51" t="str">
        <x:v>PASS_RULE_APPLIED</x:v>
      </x:c>
      <x:c r="I6" s="51" t="str">
        <x:v>ELIGIBLE_WITH_LIMITATIONS</x:v>
      </x:c>
      <x:c r="J6" s="51" t="str">
        <x:v>公司级披露限制=1，解释需降级。</x:v>
      </x:c>
      <x:c r="K6" s="51" t="str">
        <x:v>PENDING_STAGE6C</x:v>
      </x:c>
      <x:c r="L6" s="51" t="str">
        <x:v>不得以分数之和或单一指标决定入选。</x:v>
      </x:c>
    </x:row>
    <x:row r="7" ht="112" customHeight="1">
      <x:c r="A7" s="47" t="str">
        <x:v>301581</x:v>
      </x:c>
      <x:c r="B7" s="47" t="str">
        <x:v>黄山谷捷</x:v>
      </x:c>
      <x:c r="C7" s="47" t="str">
        <x:f>'逐轴初评矩阵'!N7</x:f>
        <x:v>2|0|1|1|1</x:v>
      </x:c>
      <x:c r="D7" s="51" t="str">
        <x:v>两轮中等规模且高度集中、无确认PE/VC、存在一次零对价转让；适合作为非PE/VC与交易边界对照。</x:v>
      </x:c>
      <x:c r="E7" s="51" t="str">
        <x:v>PASS_CORE</x:v>
      </x:c>
      <x:c r="F7" s="51" t="str">
        <x:v>PASS</x:v>
      </x:c>
      <x:c r="G7" s="51" t="str">
        <x:v>PASS</x:v>
      </x:c>
      <x:c r="H7" s="51" t="str">
        <x:v>PASS_RULE_APPLIED</x:v>
      </x:c>
      <x:c r="I7" s="51" t="str">
        <x:v>ELIGIBLE</x:v>
      </x:c>
      <x:c r="J7" s="51" t="str">
        <x:v>冻结口径内可进入组合比较，仍不支持因果或优劣推断。</x:v>
      </x:c>
      <x:c r="K7" s="51" t="str">
        <x:v>PENDING_STAGE6C</x:v>
      </x:c>
      <x:c r="L7" s="51" t="str">
        <x:v>不得以分数之和或单一指标决定入选。</x:v>
      </x:c>
    </x:row>
    <x:row r="8" ht="112" customHeight="1">
      <x:c r="A8" s="47" t="str">
        <x:v>603418</x:v>
      </x:c>
      <x:c r="B8" s="47" t="str">
        <x:v>友升股份</x:v>
      </x:c>
      <x:c r="C8" s="47" t="str">
        <x:f>'逐轴初评矩阵'!N8</x:f>
        <x:v>2|1|1|0|1</x:v>
      </x:c>
      <x:c r="D8" s="51" t="str">
        <x:v>两轮高规模且集中、PE/VC较晚直接进入、无转让；主体桥接警告较多。</x:v>
      </x:c>
      <x:c r="E8" s="51" t="str">
        <x:v>PASS_CORE</x:v>
      </x:c>
      <x:c r="F8" s="51" t="str">
        <x:v>PASS</x:v>
      </x:c>
      <x:c r="G8" s="51" t="str">
        <x:v>PASS_WITH_WARNING</x:v>
      </x:c>
      <x:c r="H8" s="51" t="str">
        <x:v>PASS_RULE_APPLIED</x:v>
      </x:c>
      <x:c r="I8" s="51" t="str">
        <x:v>ELIGIBLE_WITH_WARNINGS</x:v>
      </x:c>
      <x:c r="J8" s="51" t="str">
        <x:v>主体或PE/VC桥接警告需保留。</x:v>
      </x:c>
      <x:c r="K8" s="51" t="str">
        <x:v>PENDING_STAGE6C</x:v>
      </x:c>
      <x:c r="L8" s="51" t="str">
        <x:v>不得以分数之和或单一指标决定入选。</x:v>
      </x:c>
    </x:row>
    <x:row r="9" ht="112" customHeight="1">
      <x:c r="A9" s="47" t="str">
        <x:v>688758</x:v>
      </x:c>
      <x:c r="B9" s="47" t="str">
        <x:v>赛分科技</x:v>
      </x:c>
      <x:c r="C9" s="47" t="str">
        <x:f>'逐轴初评矩阵'!N9</x:f>
        <x:v>2|0|1|2|2</x:v>
      </x:c>
      <x:c r="D9" s="51" t="str">
        <x:v>三轮高规模、无确认PE/VC、有可计算二级交易且数据质量较好。</x:v>
      </x:c>
      <x:c r="E9" s="51" t="str">
        <x:v>PASS_CORE</x:v>
      </x:c>
      <x:c r="F9" s="51" t="str">
        <x:v>PASS</x:v>
      </x:c>
      <x:c r="G9" s="51" t="str">
        <x:v>PASS</x:v>
      </x:c>
      <x:c r="H9" s="51" t="str">
        <x:v>PASS_RULE_APPLIED</x:v>
      </x:c>
      <x:c r="I9" s="51" t="str">
        <x:v>ELIGIBLE</x:v>
      </x:c>
      <x:c r="J9" s="51" t="str">
        <x:v>冻结口径内可进入组合比较，仍不支持因果或优劣推断。</x:v>
      </x:c>
      <x:c r="K9" s="51" t="str">
        <x:v>PENDING_STAGE6C</x:v>
      </x:c>
      <x:c r="L9" s="51" t="str">
        <x:v>不得以分数之和或单一指标决定入选。</x:v>
      </x:c>
    </x:row>
    <x:row r="10" ht="112" customHeight="1">
      <x:c r="A10" s="47" t="str">
        <x:v>688775</x:v>
      </x:c>
      <x:c r="B10" s="47" t="str">
        <x:v>影石创新</x:v>
      </x:c>
      <x:c r="C10" s="47" t="str">
        <x:f>'逐轴初评矩阵'!N10</x:f>
        <x:v>NA|0|0|1|0</x:v>
      </x:c>
      <x:c r="D10" s="51" t="str">
        <x:v>融资历史不可重构但存在股权转让；只能作为披露、缺失和方法边界案例。</x:v>
      </x:c>
      <x:c r="E10" s="51" t="str">
        <x:v>LIMITED_METHOD_ONLY</x:v>
      </x:c>
      <x:c r="F10" s="51" t="str">
        <x:v>BOUNDARY_ONLY</x:v>
      </x:c>
      <x:c r="G10" s="51" t="str">
        <x:v>LIMITED_BOUNDARY</x:v>
      </x:c>
      <x:c r="H10" s="51" t="str">
        <x:v>PASS_RULE_APPLIED</x:v>
      </x:c>
      <x:c r="I10" s="51" t="str">
        <x:v>METHOD_BOUNDARY_ONLY</x:v>
      </x:c>
      <x:c r="J10" s="51" t="str">
        <x:v>仅方法/披露边界；S1不评分。</x:v>
      </x:c>
      <x:c r="K10" s="51" t="str">
        <x:v>PENDING_STAGE6C</x:v>
      </x:c>
      <x:c r="L10" s="51" t="str">
        <x:v>不得以分数之和或单一指标决定入选。</x:v>
      </x:c>
    </x:row>
    <x:row r="11" ht="112" customHeight="1">
      <x:c r="A11" s="47" t="str">
        <x:v>920100</x:v>
      </x:c>
      <x:c r="B11" s="47" t="str">
        <x:v>三协电机</x:v>
      </x:c>
      <x:c r="C11" s="47" t="str">
        <x:f>'逐轴初评矩阵'!N11</x:f>
        <x:v>2|1|1|0|1</x:v>
      </x:c>
      <x:c r="D11" s="51" t="str">
        <x:v>两轮较低规模、PE/VC较晚直接进入、无转让；路径和证据主要依赖补充摘要。</x:v>
      </x:c>
      <x:c r="E11" s="51" t="str">
        <x:v>PASS_CORE</x:v>
      </x:c>
      <x:c r="F11" s="51" t="str">
        <x:v>PASS</x:v>
      </x:c>
      <x:c r="G11" s="51" t="str">
        <x:v>PASS_WITH_LIMITATION</x:v>
      </x:c>
      <x:c r="H11" s="51" t="str">
        <x:v>PASS_RULE_APPLIED</x:v>
      </x:c>
      <x:c r="I11" s="51" t="str">
        <x:v>ELIGIBLE_WITH_LIMITATIONS</x:v>
      </x:c>
      <x:c r="J11" s="51" t="str">
        <x:v>路径与证据依赖补充摘要。</x:v>
      </x:c>
      <x:c r="K11" s="51" t="str">
        <x:v>PENDING_STAGE6C</x:v>
      </x:c>
      <x:c r="L11" s="51" t="str">
        <x:v>不得以分数之和或单一指标决定入选。</x:v>
      </x:c>
    </x:row>
    <x:row r="12" ht="112" customHeight="1">
      <x:c r="A12" s="48" t="str">
        <x:v>920116</x:v>
      </x:c>
      <x:c r="B12" s="48" t="str">
        <x:v>星图测控</x:v>
      </x:c>
      <x:c r="C12" s="48" t="str">
        <x:f>'逐轴初评矩阵'!N12</x:f>
        <x:v>1|0|1|0|2</x:v>
      </x:c>
      <x:c r="D12" s="52" t="str">
        <x:v>单轮、无确认PE/VC、单轮投资方较多、证据密度高；适合作为简单结构对照。</x:v>
      </x:c>
      <x:c r="E12" s="52" t="str">
        <x:v>PASS_CORE</x:v>
      </x:c>
      <x:c r="F12" s="52" t="str">
        <x:v>PASS_CONTRAST</x:v>
      </x:c>
      <x:c r="G12" s="52" t="str">
        <x:v>PASS_WITH_WARNING</x:v>
      </x:c>
      <x:c r="H12" s="52" t="str">
        <x:v>PASS_RULE_APPLIED</x:v>
      </x:c>
      <x:c r="I12" s="52" t="str">
        <x:v>ELIGIBLE_WITH_WARNINGS</x:v>
      </x:c>
      <x:c r="J12" s="52" t="str">
        <x:v>主体或PE/VC桥接警告需保留。</x:v>
      </x:c>
      <x:c r="K12" s="52" t="str">
        <x:v>PENDING_STAGE6C</x:v>
      </x:c>
      <x:c r="L12" s="52" t="str">
        <x:v>不得以分数之和或单一指标决定入选。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76" hidden="0" customWidth="1"/>
    <x:col min="4" max="4" width="72" hidden="0" customWidth="1"/>
  </x:cols>
  <x:sheetData>
    <x:row r="1" ht="32" customHeight="1">
      <x:c r="A1" s="3" t="str">
        <x:v>禁止推断与错误使用</x:v>
      </x:c>
      <x:c r="B1" s="3"/>
      <x:c r="C1" s="3"/>
      <x:c r="D1" s="3"/>
    </x:row>
    <x:row r="2" ht="44" customHeight="1">
      <x:c r="A2" s="7" t="str">
        <x:v>防止代表性初评被误写成公司质量、投资价值或总体统计结论。</x:v>
      </x:c>
      <x:c r="B2" s="7"/>
      <x:c r="C2" s="7"/>
      <x:c r="D2" s="7"/>
    </x:row>
    <x:row r="3">
      <x:c r="A3" s="10"/>
      <x:c r="B3" s="10"/>
      <x:c r="C3" s="10"/>
      <x:c r="D3" s="10"/>
    </x:row>
    <x:row r="4" ht="32" customHeight="1">
      <x:c r="A4" s="40" t="str">
        <x:v>规则ID</x:v>
      </x:c>
      <x:c r="B4" s="41" t="str">
        <x:v>禁止做法</x:v>
      </x:c>
      <x:c r="C4" s="41" t="str">
        <x:v>为什么不成立</x:v>
      </x:c>
      <x:c r="D4" s="42" t="str">
        <x:v>正确处理</x:v>
      </x:c>
    </x:row>
    <x:row r="5" ht="88" customHeight="1">
      <x:c r="A5" s="47" t="str">
        <x:v>P01</x:v>
      </x:c>
      <x:c r="B5" s="59" t="str">
        <x:v>把S1—S5相加形成公司总分</x:v>
      </x:c>
      <x:c r="C5" s="47" t="str">
        <x:v>各轴构念不同且存在不评分单元，求和会制造伪精确。</x:v>
      </x:c>
      <x:c r="D5" s="63" t="str">
        <x:v>保留轴向量和文字理由。</x:v>
      </x:c>
    </x:row>
    <x:row r="6" ht="88" customHeight="1">
      <x:c r="A6" s="47" t="str">
        <x:v>P02</x:v>
      </x:c>
      <x:c r="B6" s="59" t="str">
        <x:v>按轴分数给八家公司排名</x:v>
      </x:c>
      <x:c r="C6" s="47" t="str">
        <x:v>本阶段评价代表性特征，不评价公司优劣。</x:v>
      </x:c>
      <x:c r="D6" s="63" t="str">
        <x:v>下一阶段只比较组合互补性。</x:v>
      </x:c>
    </x:row>
    <x:row r="7" ht="88" customHeight="1">
      <x:c r="A7" s="47" t="str">
        <x:v>P03</x:v>
      </x:c>
      <x:c r="B7" s="59" t="str">
        <x:v>把0分理解为公司表现差</x:v>
      </x:c>
      <x:c r="C7" s="47" t="str">
        <x:v>0仅表示该轴信息有限或无可识别差异。</x:v>
      </x:c>
      <x:c r="D7" s="63" t="str">
        <x:v>结合轴定义和证据阅读。</x:v>
      </x:c>
    </x:row>
    <x:row r="8" ht="88" customHeight="1">
      <x:c r="A8" s="47" t="str">
        <x:v>P04</x:v>
      </x:c>
      <x:c r="B8" s="59" t="str">
        <x:v>把NOT_SCORED写成0</x:v>
      </x:c>
      <x:c r="C8" s="47" t="str">
        <x:v>影石创新S1因关键金额不可计算，0会扭曲缺失语义。</x:v>
      </x:c>
      <x:c r="D8" s="63" t="str">
        <x:v>保持空值并标记NOT_SCORED。</x:v>
      </x:c>
    </x:row>
    <x:row r="9" ht="88" customHeight="1">
      <x:c r="A9" s="47" t="str">
        <x:v>P05</x:v>
      </x:c>
      <x:c r="B9" s="59" t="str">
        <x:v>把warning自动扣分</x:v>
      </x:c>
      <x:c r="C9" s="47" t="str">
        <x:v>warning类型异质，主要提示映射或披露边界。</x:v>
      </x:c>
      <x:c r="D9" s="63" t="str">
        <x:v>人工阅读并写入G2限制。</x:v>
      </x:c>
    </x:row>
    <x:row r="10" ht="88" customHeight="1">
      <x:c r="A10" s="47" t="str">
        <x:v>P06</x:v>
      </x:c>
      <x:c r="B10" s="59" t="str">
        <x:v>把确认PE/VC=0写成不存在机构投资者</x:v>
      </x:c>
      <x:c r="C10" s="47" t="str">
        <x:v>结论受法律主体识别和披露范围限制。</x:v>
      </x:c>
      <x:c r="D10" s="63" t="str">
        <x:v>写“冻结口径内未确认PE/VC”。</x:v>
      </x:c>
    </x:row>
    <x:row r="11" ht="88" customHeight="1">
      <x:c r="A11" s="47" t="str">
        <x:v>P07</x:v>
      </x:c>
      <x:c r="B11" s="59" t="str">
        <x:v>把金额下限写成真实融资总额</x:v>
      </x:c>
      <x:c r="C11" s="47" t="str">
        <x:v>历史披露可能不完整。</x:v>
      </x:c>
      <x:c r="D11" s="63" t="str">
        <x:v>保留“可核验下限”和覆盖率。</x:v>
      </x:c>
    </x:row>
    <x:row r="12" ht="88" customHeight="1">
      <x:c r="A12" s="48" t="str">
        <x:v>P08</x:v>
      </x:c>
      <x:c r="B12" s="60" t="str">
        <x:v>本阶段直接选出最终代表公司</x:v>
      </x:c>
      <x:c r="C12" s="48" t="str">
        <x:v>S6组合互补性尚未应用。</x:v>
      </x:c>
      <x:c r="D12" s="64" t="str">
        <x:v>Stage6C再比较候选组合。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6" hidden="0" customWidth="1"/>
    <x:col min="8" max="8" width="66" hidden="0" customWidth="1"/>
  </x:cols>
  <x:sheetData>
    <x:row r="1" ht="32" customHeight="1">
      <x:c r="A1" s="3" t="str">
        <x:v>Stage 6B验收检查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27项全部PASS后冻结逐轴初评；检查不把轴分数求和。</x:v>
      </x:c>
      <x:c r="B2" s="7"/>
      <x:c r="C2" s="7"/>
      <x:c r="D2" s="7"/>
      <x:c r="E2" s="7"/>
      <x:c r="F2" s="7"/>
      <x:c r="G2" s="7"/>
      <x:c r="H2" s="7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2" customHeight="1">
      <x:c r="A4" s="40" t="str">
        <x:v>检查ID</x:v>
      </x:c>
      <x:c r="B4" s="41" t="str">
        <x:v>检查项</x:v>
      </x:c>
      <x:c r="C4" s="41" t="str">
        <x:v>期望</x:v>
      </x:c>
      <x:c r="D4" s="41" t="str">
        <x:v>实际</x:v>
      </x:c>
      <x:c r="E4" s="41" t="str">
        <x:v>类型</x:v>
      </x:c>
      <x:c r="F4" s="41" t="str">
        <x:v>容差</x:v>
      </x:c>
      <x:c r="G4" s="41" t="str">
        <x:v>状态</x:v>
      </x:c>
      <x:c r="H4" s="42" t="str">
        <x:v>说明</x:v>
      </x:c>
    </x:row>
    <x:row r="5" ht="42" customHeight="1">
      <x:c r="A5" s="47" t="str">
        <x:v>S6B-001</x:v>
      </x:c>
      <x:c r="B5" s="47" t="str">
        <x:v>Stage6A工作簿SHA-256</x:v>
      </x:c>
      <x:c r="C5" s="47" t="str">
        <x:v>0c9104689bfd2510727dfff1c22cbb5e7f4beece939c54f53f75c7329183e8ba</x:v>
      </x:c>
      <x:c r="D5" s="47" t="str">
        <x:v>0c9104689bfd2510727dfff1c22cbb5e7f4beece939c54f53f75c7329183e8ba</x:v>
      </x:c>
      <x:c r="E5" s="47" t="str">
        <x:v>文本</x:v>
      </x:c>
      <x:c r="F5" s="47" t="n">
        <x:v>0</x:v>
      </x:c>
      <x:c r="G5" s="47" t="str">
        <x:f>IF(C5=D5,"PASS","FAIL")</x:f>
        <x:v>PASS</x:v>
      </x:c>
      <x:c r="H5" s="47" t="str">
        <x:v>矩阵底表身份</x:v>
      </x:c>
    </x:row>
    <x:row r="6" ht="42" customHeight="1">
      <x:c r="A6" s="47" t="str">
        <x:v>S6B-002</x:v>
      </x:c>
      <x:c r="B6" s="47" t="str">
        <x:v>Stage5D工作簿SHA-256</x:v>
      </x:c>
      <x:c r="C6" s="47" t="str">
        <x:v>e9cfb4e77163d1debaac0051711832a6d74146d54fcd9f3244cf02df7733739f</x:v>
      </x:c>
      <x:c r="D6" s="47" t="str">
        <x:v>e9cfb4e77163d1debaac0051711832a6d74146d54fcd9f3244cf02df7733739f</x:v>
      </x:c>
      <x:c r="E6" s="47" t="str">
        <x:v>文本</x:v>
      </x:c>
      <x:c r="F6" s="47" t="n">
        <x:v>0</x:v>
      </x:c>
      <x:c r="G6" s="47" t="str">
        <x:f>IF(C6=D6,"PASS","FAIL")</x:f>
        <x:v>PASS</x:v>
      </x:c>
      <x:c r="H6" s="47" t="str">
        <x:v>评分规则身份</x:v>
      </x:c>
    </x:row>
    <x:row r="7" ht="42" customHeight="1">
      <x:c r="A7" s="47" t="str">
        <x:v>S6B-003</x:v>
      </x:c>
      <x:c r="B7" s="47" t="str">
        <x:v>公司数</x:v>
      </x:c>
      <x:c r="C7" s="47" t="n">
        <x:v>8</x:v>
      </x:c>
      <x:c r="D7" s="47" t="n">
        <x:f>COUNTA('逐轴初评矩阵'!$A$5:$A$12)</x:f>
        <x:v>8</x:v>
      </x:c>
      <x:c r="E7" s="47" t="str">
        <x:v>数值</x:v>
      </x:c>
      <x:c r="F7" s="47" t="n">
        <x:v>0</x:v>
      </x:c>
      <x:c r="G7" s="47" t="str">
        <x:f>IF(ABS(C7-D7)&lt;=F7,"PASS","FAIL")</x:f>
        <x:v>PASS</x:v>
      </x:c>
      <x:c r="H7" s="47" t="str">
        <x:v>全样本</x:v>
      </x:c>
    </x:row>
    <x:row r="8" ht="42" customHeight="1">
      <x:c r="A8" s="47" t="str">
        <x:v>S6B-004</x:v>
      </x:c>
      <x:c r="B8" s="47" t="str">
        <x:v>轴数</x:v>
      </x:c>
      <x:c r="C8" s="47" t="n">
        <x:v>5</x:v>
      </x:c>
      <x:c r="D8" s="47" t="n">
        <x:v>5</x:v>
      </x:c>
      <x:c r="E8" s="47" t="str">
        <x:v>数值</x:v>
      </x:c>
      <x:c r="F8" s="47" t="n">
        <x:v>0</x:v>
      </x:c>
      <x:c r="G8" s="47" t="str">
        <x:f>IF(ABS(C8-D8)&lt;=F8,"PASS","FAIL")</x:f>
        <x:v>PASS</x:v>
      </x:c>
      <x:c r="H8" s="47" t="str">
        <x:v>S1—S5</x:v>
      </x:c>
    </x:row>
    <x:row r="9" ht="42" customHeight="1">
      <x:c r="A9" s="47" t="str">
        <x:v>S6B-005</x:v>
      </x:c>
      <x:c r="B9" s="47" t="str">
        <x:v>公司—轴单元数</x:v>
      </x:c>
      <x:c r="C9" s="47" t="n">
        <x:v>40</x:v>
      </x:c>
      <x:c r="D9" s="47" t="n">
        <x:f>COUNTA('逐轴评分证据'!$A$5:$A$44)</x:f>
        <x:v>40</x:v>
      </x:c>
      <x:c r="E9" s="47" t="str">
        <x:v>数值</x:v>
      </x:c>
      <x:c r="F9" s="47" t="n">
        <x:v>0</x:v>
      </x:c>
      <x:c r="G9" s="47" t="str">
        <x:f>IF(ABS(C9-D9)&lt;=F9,"PASS","FAIL")</x:f>
        <x:v>PASS</x:v>
      </x:c>
      <x:c r="H9" s="47" t="str">
        <x:v>8×5</x:v>
      </x:c>
    </x:row>
    <x:row r="10" ht="42" customHeight="1">
      <x:c r="A10" s="47" t="str">
        <x:v>S6B-006</x:v>
      </x:c>
      <x:c r="B10" s="47" t="str">
        <x:v>数值评分数</x:v>
      </x:c>
      <x:c r="C10" s="47" t="n">
        <x:v>39</x:v>
      </x:c>
      <x:c r="D10" s="47" t="n">
        <x:f>COUNT('逐轴评分证据'!$E$5:$E$44)</x:f>
        <x:v>39</x:v>
      </x:c>
      <x:c r="E10" s="47" t="str">
        <x:v>数值</x:v>
      </x:c>
      <x:c r="F10" s="47" t="n">
        <x:v>0</x:v>
      </x:c>
      <x:c r="G10" s="47" t="str">
        <x:f>IF(ABS(C10-D10)&lt;=F10,"PASS","FAIL")</x:f>
        <x:v>PASS</x:v>
      </x:c>
      <x:c r="H10" s="47" t="str">
        <x:v>影石S1除外</x:v>
      </x:c>
    </x:row>
    <x:row r="11" ht="42" customHeight="1">
      <x:c r="A11" s="47" t="str">
        <x:v>S6B-007</x:v>
      </x:c>
      <x:c r="B11" s="47" t="str">
        <x:v>未评分单元数</x:v>
      </x:c>
      <x:c r="C11" s="47" t="n">
        <x:v>1</x:v>
      </x:c>
      <x:c r="D11" s="47" t="n">
        <x:f>COUNTBLANK('逐轴评分证据'!$E$5:$E$44)</x:f>
        <x:v>1</x:v>
      </x:c>
      <x:c r="E11" s="47" t="str">
        <x:v>数值</x:v>
      </x:c>
      <x:c r="F11" s="47" t="n">
        <x:v>0</x:v>
      </x:c>
      <x:c r="G11" s="47" t="str">
        <x:f>IF(ABS(C11-D11)&lt;=F11,"PASS","FAIL")</x:f>
        <x:v>PASS</x:v>
      </x:c>
      <x:c r="H11" s="47" t="str">
        <x:v>仅影石S1</x:v>
      </x:c>
    </x:row>
    <x:row r="12" ht="42" customHeight="1">
      <x:c r="A12" s="47" t="str">
        <x:v>S6B-008</x:v>
      </x:c>
      <x:c r="B12" s="47" t="str">
        <x:v>最低评分</x:v>
      </x:c>
      <x:c r="C12" s="47" t="n">
        <x:v>0</x:v>
      </x:c>
      <x:c r="D12" s="47" t="n">
        <x:f>MIN('逐轴评分证据'!$E$5:$E$44)</x:f>
        <x:v>0</x:v>
      </x:c>
      <x:c r="E12" s="47" t="str">
        <x:v>数值</x:v>
      </x:c>
      <x:c r="F12" s="47" t="n">
        <x:v>0</x:v>
      </x:c>
      <x:c r="G12" s="47" t="str">
        <x:f>IF(ABS(C12-D12)&lt;=F12,"PASS","FAIL")</x:f>
        <x:v>PASS</x:v>
      </x:c>
      <x:c r="H12" s="47" t="str">
        <x:v>量表下限</x:v>
      </x:c>
    </x:row>
    <x:row r="13" ht="42" customHeight="1">
      <x:c r="A13" s="47" t="str">
        <x:v>S6B-009</x:v>
      </x:c>
      <x:c r="B13" s="47" t="str">
        <x:v>最高评分</x:v>
      </x:c>
      <x:c r="C13" s="47" t="n">
        <x:v>2</x:v>
      </x:c>
      <x:c r="D13" s="47" t="n">
        <x:f>MAX('逐轴评分证据'!$E$5:$E$44)</x:f>
        <x:v>2</x:v>
      </x:c>
      <x:c r="E13" s="47" t="str">
        <x:v>数值</x:v>
      </x:c>
      <x:c r="F13" s="47" t="n">
        <x:v>0</x:v>
      </x:c>
      <x:c r="G13" s="47" t="str">
        <x:f>IF(ABS(C13-D13)&lt;=F13,"PASS","FAIL")</x:f>
        <x:v>PASS</x:v>
      </x:c>
      <x:c r="H13" s="47" t="str">
        <x:v>量表上限</x:v>
      </x:c>
    </x:row>
    <x:row r="14" ht="42" customHeight="1">
      <x:c r="A14" s="47" t="str">
        <x:v>S6B-010</x:v>
      </x:c>
      <x:c r="B14" s="47" t="str">
        <x:v>S1数值评分数</x:v>
      </x:c>
      <x:c r="C14" s="47" t="n">
        <x:v>7</x:v>
      </x:c>
      <x:c r="D14" s="47" t="n">
        <x:f>COUNTIF('逐轴评分证据'!$C$5:$C$44,"S1")-COUNTIFS('逐轴评分证据'!$C$5:$C$44,"S1",'逐轴评分证据'!$F$5:$F$44,"NOT_SCORED_G0_LIMITATION")</x:f>
        <x:v>7</x:v>
      </x:c>
      <x:c r="E14" s="47" t="str">
        <x:v>数值</x:v>
      </x:c>
      <x:c r="F14" s="47" t="n">
        <x:v>0</x:v>
      </x:c>
      <x:c r="G14" s="47" t="str">
        <x:f>IF(ABS(C14-D14)&lt;=F14,"PASS","FAIL")</x:f>
        <x:v>PASS</x:v>
      </x:c>
      <x:c r="H14" s="47" t="str">
        <x:v>一项不评分</x:v>
      </x:c>
    </x:row>
    <x:row r="15" ht="42" customHeight="1">
      <x:c r="A15" s="47" t="str">
        <x:v>S6B-011</x:v>
      </x:c>
      <x:c r="B15" s="47" t="str">
        <x:v>S2—S5评分数</x:v>
      </x:c>
      <x:c r="C15" s="47" t="n">
        <x:v>32</x:v>
      </x:c>
      <x:c r="D15" s="47" t="n">
        <x:f>COUNT('逐轴初评矩阵'!$F$5:$M$12)</x:f>
        <x:v>32</x:v>
      </x:c>
      <x:c r="E15" s="47" t="str">
        <x:v>数值</x:v>
      </x:c>
      <x:c r="F15" s="47" t="n">
        <x:v>0</x:v>
      </x:c>
      <x:c r="G15" s="47" t="str">
        <x:f>IF(ABS(C15-D15)&lt;=F15,"PASS","FAIL")</x:f>
        <x:v>PASS</x:v>
      </x:c>
      <x:c r="H15" s="47" t="str">
        <x:v>4轴×8</x:v>
      </x:c>
    </x:row>
    <x:row r="16" ht="42" customHeight="1">
      <x:c r="A16" s="47" t="str">
        <x:v>S6B-012</x:v>
      </x:c>
      <x:c r="B16" s="47" t="str">
        <x:v>闸门判断数</x:v>
      </x:c>
      <x:c r="C16" s="47" t="n">
        <x:v>32</x:v>
      </x:c>
      <x:c r="D16" s="47" t="n">
        <x:f>COUNTA('闸门判定表'!$A$5:$A$36)</x:f>
        <x:v>32</x:v>
      </x:c>
      <x:c r="E16" s="47" t="str">
        <x:v>数值</x:v>
      </x:c>
      <x:c r="F16" s="47" t="n">
        <x:v>0</x:v>
      </x:c>
      <x:c r="G16" s="47" t="str">
        <x:f>IF(ABS(C16-D16)&lt;=F16,"PASS","FAIL")</x:f>
        <x:v>PASS</x:v>
      </x:c>
      <x:c r="H16" s="47" t="str">
        <x:v>8×4</x:v>
      </x:c>
    </x:row>
    <x:row r="17" ht="42" customHeight="1">
      <x:c r="A17" s="47" t="str">
        <x:v>S6B-013</x:v>
      </x:c>
      <x:c r="B17" s="47" t="str">
        <x:v>G0 PASS_CORE数</x:v>
      </x:c>
      <x:c r="C17" s="47" t="n">
        <x:v>7</x:v>
      </x:c>
      <x:c r="D17" s="47" t="n">
        <x:f>COUNTIFS('闸门判定表'!$C$5:$C$36,"G0",'闸门判定表'!$E$5:$E$36,"PASS_CORE")</x:f>
        <x:v>7</x:v>
      </x:c>
      <x:c r="E17" s="47" t="str">
        <x:v>数值</x:v>
      </x:c>
      <x:c r="F17" s="47" t="n">
        <x:v>0</x:v>
      </x:c>
      <x:c r="G17" s="47" t="str">
        <x:f>IF(ABS(C17-D17)&lt;=F17,"PASS","FAIL")</x:f>
        <x:v>PASS</x:v>
      </x:c>
      <x:c r="H17" s="47" t="str">
        <x:v>七家公司</x:v>
      </x:c>
    </x:row>
    <x:row r="18" ht="42" customHeight="1">
      <x:c r="A18" s="47" t="str">
        <x:v>S6B-014</x:v>
      </x:c>
      <x:c r="B18" s="47" t="str">
        <x:v>G0方法边界数</x:v>
      </x:c>
      <x:c r="C18" s="47" t="n">
        <x:v>1</x:v>
      </x:c>
      <x:c r="D18" s="47" t="n">
        <x:f>COUNTIFS('闸门判定表'!$C$5:$C$36,"G0",'闸门判定表'!$E$5:$E$36,"LIMITED_METHOD_ONLY")</x:f>
        <x:v>1</x:v>
      </x:c>
      <x:c r="E18" s="47" t="str">
        <x:v>数值</x:v>
      </x:c>
      <x:c r="F18" s="47" t="n">
        <x:v>0</x:v>
      </x:c>
      <x:c r="G18" s="47" t="str">
        <x:f>IF(ABS(C18-D18)&lt;=F18,"PASS","FAIL")</x:f>
        <x:v>PASS</x:v>
      </x:c>
      <x:c r="H18" s="47" t="str">
        <x:v>影石创新</x:v>
      </x:c>
    </x:row>
    <x:row r="19" ht="42" customHeight="1">
      <x:c r="A19" s="47" t="str">
        <x:v>S6B-015</x:v>
      </x:c>
      <x:c r="B19" s="47" t="str">
        <x:v>G1实质/对照通过数</x:v>
      </x:c>
      <x:c r="C19" s="47" t="n">
        <x:v>7</x:v>
      </x:c>
      <x:c r="D19" s="47" t="n">
        <x:f>COUNTIFS('闸门判定表'!$C$5:$C$36,"G1",'闸门判定表'!$E$5:$E$36,"PASS")+COUNTIFS('闸门判定表'!$C$5:$C$36,"G1",'闸门判定表'!$E$5:$E$36,"PASS_CONTRAST")</x:f>
        <x:v>7</x:v>
      </x:c>
      <x:c r="E19" s="47" t="str">
        <x:v>数值</x:v>
      </x:c>
      <x:c r="F19" s="47" t="n">
        <x:v>0</x:v>
      </x:c>
      <x:c r="G19" s="47" t="str">
        <x:f>IF(ABS(C19-D19)&lt;=F19,"PASS","FAIL")</x:f>
        <x:v>PASS</x:v>
      </x:c>
      <x:c r="H19" s="47" t="str">
        <x:v>5个PASS+2个PASS_CONTRAST</x:v>
      </x:c>
    </x:row>
    <x:row r="20" ht="42" customHeight="1">
      <x:c r="A20" s="47" t="str">
        <x:v>S6B-016</x:v>
      </x:c>
      <x:c r="B20" s="47" t="str">
        <x:v>G1边界数</x:v>
      </x:c>
      <x:c r="C20" s="47" t="n">
        <x:v>1</x:v>
      </x:c>
      <x:c r="D20" s="47" t="n">
        <x:f>COUNTIFS('闸门判定表'!$C$5:$C$36,"G1",'闸门判定表'!$E$5:$E$36,"BOUNDARY_ONLY")</x:f>
        <x:v>1</x:v>
      </x:c>
      <x:c r="E20" s="47" t="str">
        <x:v>数值</x:v>
      </x:c>
      <x:c r="F20" s="47" t="n">
        <x:v>0</x:v>
      </x:c>
      <x:c r="G20" s="47" t="str">
        <x:f>IF(ABS(C20-D20)&lt;=F20,"PASS","FAIL")</x:f>
        <x:v>PASS</x:v>
      </x:c>
      <x:c r="H20" s="47" t="str">
        <x:v>影石创新</x:v>
      </x:c>
    </x:row>
    <x:row r="21" ht="42" customHeight="1">
      <x:c r="A21" s="47" t="str">
        <x:v>S6B-017</x:v>
      </x:c>
      <x:c r="B21" s="47" t="str">
        <x:v>G3规则通过数</x:v>
      </x:c>
      <x:c r="C21" s="47" t="n">
        <x:v>8</x:v>
      </x:c>
      <x:c r="D21" s="47" t="n">
        <x:f>COUNTIFS('闸门判定表'!$C$5:$C$36,"G3",'闸门判定表'!$E$5:$E$36,"PASS_RULE_APPLIED")</x:f>
        <x:v>8</x:v>
      </x:c>
      <x:c r="E21" s="47" t="str">
        <x:v>数值</x:v>
      </x:c>
      <x:c r="F21" s="47" t="n">
        <x:v>0</x:v>
      </x:c>
      <x:c r="G21" s="47" t="str">
        <x:f>IF(ABS(C21-D21)&lt;=F21,"PASS","FAIL")</x:f>
        <x:v>PASS</x:v>
      </x:c>
      <x:c r="H21" s="47" t="str">
        <x:v>全样本</x:v>
      </x:c>
    </x:row>
    <x:row r="22" ht="42" customHeight="1">
      <x:c r="A22" s="47" t="str">
        <x:v>S6B-018</x:v>
      </x:c>
      <x:c r="B22" s="47" t="str">
        <x:v>ELIGIBLE数</x:v>
      </x:c>
      <x:c r="C22" s="47" t="n">
        <x:v>2</x:v>
      </x:c>
      <x:c r="D22" s="47" t="n">
        <x:f>COUNTIF('逐轴初评矩阵'!$T$5:$T$12,"ELIGIBLE")</x:f>
        <x:v>2</x:v>
      </x:c>
      <x:c r="E22" s="47" t="str">
        <x:v>数值</x:v>
      </x:c>
      <x:c r="F22" s="47" t="n">
        <x:v>0</x:v>
      </x:c>
      <x:c r="G22" s="47" t="str">
        <x:f>IF(ABS(C22-D22)&lt;=F22,"PASS","FAIL")</x:f>
        <x:v>PASS</x:v>
      </x:c>
      <x:c r="H22" s="47" t="str">
        <x:v>不含后缀类别</x:v>
      </x:c>
    </x:row>
    <x:row r="23" ht="42" customHeight="1">
      <x:c r="A23" s="47" t="str">
        <x:v>S6B-019</x:v>
      </x:c>
      <x:c r="B23" s="47" t="str">
        <x:v>ELIGIBLE_WITH_LIMITATIONS数</x:v>
      </x:c>
      <x:c r="C23" s="47" t="n">
        <x:v>3</x:v>
      </x:c>
      <x:c r="D23" s="47" t="n">
        <x:f>COUNTIF('逐轴初评矩阵'!$T$5:$T$12,"ELIGIBLE_WITH_LIMITATIONS")</x:f>
        <x:v>3</x:v>
      </x:c>
      <x:c r="E23" s="47" t="str">
        <x:v>数值</x:v>
      </x:c>
      <x:c r="F23" s="47" t="n">
        <x:v>0</x:v>
      </x:c>
      <x:c r="G23" s="47" t="str">
        <x:f>IF(ABS(C23-D23)&lt;=F23,"PASS","FAIL")</x:f>
        <x:v>PASS</x:v>
      </x:c>
      <x:c r="H23" s="47" t="str">
        <x:v>披露/证据限制</x:v>
      </x:c>
    </x:row>
    <x:row r="24" ht="42" customHeight="1">
      <x:c r="A24" s="47" t="str">
        <x:v>S6B-020</x:v>
      </x:c>
      <x:c r="B24" s="47" t="str">
        <x:v>ELIGIBLE_WITH_WARNINGS数</x:v>
      </x:c>
      <x:c r="C24" s="47" t="n">
        <x:v>2</x:v>
      </x:c>
      <x:c r="D24" s="47" t="n">
        <x:f>COUNTIF('逐轴初评矩阵'!$T$5:$T$12,"ELIGIBLE_WITH_WARNINGS")</x:f>
        <x:v>2</x:v>
      </x:c>
      <x:c r="E24" s="47" t="str">
        <x:v>数值</x:v>
      </x:c>
      <x:c r="F24" s="47" t="n">
        <x:v>0</x:v>
      </x:c>
      <x:c r="G24" s="47" t="str">
        <x:f>IF(ABS(C24-D24)&lt;=F24,"PASS","FAIL")</x:f>
        <x:v>PASS</x:v>
      </x:c>
      <x:c r="H24" s="47" t="str">
        <x:v>桥接警告</x:v>
      </x:c>
    </x:row>
    <x:row r="25" ht="42" customHeight="1">
      <x:c r="A25" s="47" t="str">
        <x:v>S6B-021</x:v>
      </x:c>
      <x:c r="B25" s="47" t="str">
        <x:v>METHOD_BOUNDARY_ONLY数</x:v>
      </x:c>
      <x:c r="C25" s="47" t="n">
        <x:v>1</x:v>
      </x:c>
      <x:c r="D25" s="47" t="n">
        <x:f>COUNTIF('逐轴初评矩阵'!$T$5:$T$12,"METHOD_BOUNDARY_ONLY")</x:f>
        <x:v>1</x:v>
      </x:c>
      <x:c r="E25" s="47" t="str">
        <x:v>数值</x:v>
      </x:c>
      <x:c r="F25" s="47" t="n">
        <x:v>0</x:v>
      </x:c>
      <x:c r="G25" s="47" t="str">
        <x:f>IF(ABS(C25-D25)&lt;=F25,"PASS","FAIL")</x:f>
        <x:v>PASS</x:v>
      </x:c>
      <x:c r="H25" s="47" t="str">
        <x:v>方法边界</x:v>
      </x:c>
    </x:row>
    <x:row r="26" ht="42" customHeight="1">
      <x:c r="A26" s="47" t="str">
        <x:v>S6B-022</x:v>
      </x:c>
      <x:c r="B26" s="47" t="str">
        <x:v>公司总分记录数</x:v>
      </x:c>
      <x:c r="C26" s="47" t="n">
        <x:v>0</x:v>
      </x:c>
      <x:c r="D26" s="47" t="n">
        <x:v>0</x:v>
      </x:c>
      <x:c r="E26" s="47" t="str">
        <x:v>数值</x:v>
      </x:c>
      <x:c r="F26" s="47" t="n">
        <x:v>0</x:v>
      </x:c>
      <x:c r="G26" s="47" t="str">
        <x:f>IF(ABS(C26-D26)&lt;=F26,"PASS","FAIL")</x:f>
        <x:v>PASS</x:v>
      </x:c>
      <x:c r="H26" s="47" t="str">
        <x:v>禁止求和</x:v>
      </x:c>
    </x:row>
    <x:row r="27" ht="42" customHeight="1">
      <x:c r="A27" s="47" t="str">
        <x:v>S6B-023</x:v>
      </x:c>
      <x:c r="B27" s="47" t="str">
        <x:v>公司排名记录数</x:v>
      </x:c>
      <x:c r="C27" s="47" t="n">
        <x:v>0</x:v>
      </x:c>
      <x:c r="D27" s="47" t="n">
        <x:v>0</x:v>
      </x:c>
      <x:c r="E27" s="47" t="str">
        <x:v>数值</x:v>
      </x:c>
      <x:c r="F27" s="47" t="n">
        <x:v>0</x:v>
      </x:c>
      <x:c r="G27" s="47" t="str">
        <x:f>IF(ABS(C27-D27)&lt;=F27,"PASS","FAIL")</x:f>
        <x:v>PASS</x:v>
      </x:c>
      <x:c r="H27" s="47" t="str">
        <x:v>禁止排名</x:v>
      </x:c>
    </x:row>
    <x:row r="28" ht="42" customHeight="1">
      <x:c r="A28" s="47" t="str">
        <x:v>S6B-024</x:v>
      </x:c>
      <x:c r="B28" s="47" t="str">
        <x:v>最终代表名单记录数</x:v>
      </x:c>
      <x:c r="C28" s="47" t="n">
        <x:v>0</x:v>
      </x:c>
      <x:c r="D28" s="47" t="n">
        <x:v>0</x:v>
      </x:c>
      <x:c r="E28" s="47" t="str">
        <x:v>数值</x:v>
      </x:c>
      <x:c r="F28" s="47" t="n">
        <x:v>0</x:v>
      </x:c>
      <x:c r="G28" s="47" t="str">
        <x:f>IF(ABS(C28-D28)&lt;=F28,"PASS","FAIL")</x:f>
        <x:v>PASS</x:v>
      </x:c>
      <x:c r="H28" s="47" t="str">
        <x:v>S6未应用</x:v>
      </x:c>
    </x:row>
    <x:row r="29" ht="42" customHeight="1">
      <x:c r="A29" s="47" t="str">
        <x:v>S6B-025</x:v>
      </x:c>
      <x:c r="B29" s="47" t="str">
        <x:v>NOT_SCORED替换为0</x:v>
      </x:c>
      <x:c r="C29" s="68" t="b">
        <x:v>0</x:v>
      </x:c>
      <x:c r="D29" s="68" t="b">
        <x:v>0</x:v>
      </x:c>
      <x:c r="E29" s="47" t="str">
        <x:v>布尔</x:v>
      </x:c>
      <x:c r="F29" s="47" t="n">
        <x:v>0</x:v>
      </x:c>
      <x:c r="G29" s="47" t="str">
        <x:f>IF(C29=D29,"PASS","FAIL")</x:f>
        <x:v>PASS</x:v>
      </x:c>
      <x:c r="H29" s="47" t="str">
        <x:v>必须FALSE</x:v>
      </x:c>
    </x:row>
    <x:row r="30" ht="42" customHeight="1">
      <x:c r="A30" s="47" t="str">
        <x:v>S6B-026</x:v>
      </x:c>
      <x:c r="B30" s="47" t="str">
        <x:v>warning自动扣分</x:v>
      </x:c>
      <x:c r="C30" s="68" t="b">
        <x:v>0</x:v>
      </x:c>
      <x:c r="D30" s="68" t="b">
        <x:v>0</x:v>
      </x:c>
      <x:c r="E30" s="47" t="str">
        <x:v>布尔</x:v>
      </x:c>
      <x:c r="F30" s="47" t="n">
        <x:v>0</x:v>
      </x:c>
      <x:c r="G30" s="47" t="str">
        <x:f>IF(C30=D30,"PASS","FAIL")</x:f>
        <x:v>PASS</x:v>
      </x:c>
      <x:c r="H30" s="47" t="str">
        <x:v>必须FALSE</x:v>
      </x:c>
    </x:row>
    <x:row r="31" ht="42" customHeight="1">
      <x:c r="A31" s="48" t="str">
        <x:v>S6B-027</x:v>
      </x:c>
      <x:c r="B31" s="48" t="str">
        <x:v>Stage6B冻结标记</x:v>
      </x:c>
      <x:c r="C31" s="48" t="str">
        <x:v>FROZEN_STAGE6B</x:v>
      </x:c>
      <x:c r="D31" s="48" t="str">
        <x:v>FROZEN_STAGE6B</x:v>
      </x:c>
      <x:c r="E31" s="48" t="str">
        <x:v>文本</x:v>
      </x:c>
      <x:c r="F31" s="48" t="n">
        <x:v>0</x:v>
      </x:c>
      <x:c r="G31" s="48" t="str">
        <x:f>IF(C31=D31,"PASS","FAIL")</x:f>
        <x:v>PASS</x:v>
      </x:c>
      <x:c r="H31" s="48" t="str">
        <x:v>PASS后冻结</x:v>
      </x:c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 ht="24" customHeight="1">
      <x:c r="A33" s="9" t="str">
        <x:v>阶段总状态</x:v>
      </x:c>
      <x:c r="B33" s="9"/>
      <x:c r="C33" s="9"/>
      <x:c r="D33" s="9"/>
      <x:c r="E33" s="9"/>
      <x:c r="F33" s="9"/>
      <x:c r="G33" s="9"/>
      <x:c r="H33" s="9"/>
    </x:row>
    <x:row r="34" ht="38" customHeight="1">
      <x:c r="A34" s="10" t="str">
        <x:v>总状态</x:v>
      </x:c>
      <x:c r="B34" s="72" t="str">
        <x:f>IF(COUNTIF($G$5:$G$31,"FAIL")=0,"PASS","FAIL")</x:f>
        <x:v>PASS</x:v>
      </x:c>
      <x:c r="C34" s="72"/>
      <x:c r="D34" s="72"/>
      <x:c r="E34" s="72"/>
      <x:c r="F34" s="72"/>
      <x:c r="G34" s="72"/>
      <x:c r="H34" s="10" t="str">
        <x:v>PASS后冻结为FROZEN_STAGE6B</x:v>
      </x:c>
    </x:row>
  </x:sheetData>
  <x:mergeCells>
    <x:mergeCell ref="A1:H1"/>
    <x:mergeCell ref="A2:H2"/>
    <x:mergeCell ref="A33:H33"/>
    <x:mergeCell ref="B34:G34"/>
  </x:mergeCells>
  <x:conditionalFormatting sqref="G5:G31">
    <x:cfRule type="containsText" dxfId="5" priority="1" operator="containsText" text="PASS"/>
    <x:cfRule type="containsText" dxfId="6" priority="2" operator="containsText" text="FAIL"/>
  </x:conditionalFormatting>
  <x:pageMargins left="0.7" right="0.7" top="0.75" bottom="0.75" header="0.3" footer="0.3"/>
</x:worksheet>
</file>