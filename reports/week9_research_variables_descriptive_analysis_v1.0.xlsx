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7445ddab944f1a" /></Relationships>
</file>

<file path=xl/workbook.xml><?xml version="1.0" encoding="utf-8"?>
<x:workbook xmlns:x="http://schemas.openxmlformats.org/spreadsheetml/2006/main">
  <x:sheets>
    <x:sheet xmlns:r="http://schemas.openxmlformats.org/officeDocument/2006/relationships" name="结项说明" sheetId="1" r:id="R49afdae90ae74daa"/>
    <x:sheet xmlns:r="http://schemas.openxmlformats.org/officeDocument/2006/relationships" name="阶段成果清单" sheetId="2" r:id="R314358a6e1bd4b1f"/>
    <x:sheet xmlns:r="http://schemas.openxmlformats.org/officeDocument/2006/relationships" name="核心描述统计" sheetId="3" r:id="Rdbaef1bf2f584f74"/>
    <x:sheet xmlns:r="http://schemas.openxmlformats.org/officeDocument/2006/relationships" name="变量字典" sheetId="4" r:id="Ra0879a46f40c41c2"/>
    <x:sheet xmlns:r="http://schemas.openxmlformats.org/officeDocument/2006/relationships" name="变量可用性" sheetId="5" r:id="Rcfcee23add9c45ff"/>
    <x:sheet xmlns:r="http://schemas.openxmlformats.org/officeDocument/2006/relationships" name="公司变量长表" sheetId="6" r:id="R11d443112b994d0f"/>
    <x:sheet xmlns:r="http://schemas.openxmlformats.org/officeDocument/2006/relationships" name="价值整合地图" sheetId="7" r:id="R939568109b784341"/>
    <x:sheet xmlns:r="http://schemas.openxmlformats.org/officeDocument/2006/relationships" name="公司画像" sheetId="8" r:id="Rdbdb4aac19ee47fb"/>
    <x:sheet xmlns:r="http://schemas.openxmlformats.org/officeDocument/2006/relationships" name="候选组合暂存" sheetId="9" r:id="Rc677d41085ad46f4"/>
    <x:sheet xmlns:r="http://schemas.openxmlformats.org/officeDocument/2006/relationships" name="数据层级与边界" sheetId="10" r:id="Rf5bef8427a3f4d6e"/>
    <x:sheet xmlns:r="http://schemas.openxmlformats.org/officeDocument/2006/relationships" name="Week10交接" sheetId="11" r:id="Rf19b92d511104547"/>
    <x:sheet xmlns:r="http://schemas.openxmlformats.org/officeDocument/2006/relationships" name="冻结验收" sheetId="12" r:id="R9488f2529fbd47c0"/>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Microsoft YaHei"/>
    </x:font>
    <x:font>
      <x:sz val="10"/>
      <x:color rgb="FF475569"/>
      <x:name val="Microsoft YaHei"/>
    </x:font>
    <x:font>
      <x:b/>
      <x:sz val="11"/>
      <x:color rgb="FFFFFFFF"/>
      <x:name val="Microsoft YaHei"/>
    </x:font>
    <x:font>
      <x:sz val="9"/>
      <x:color rgb="FF111827"/>
      <x:name val="Microsoft YaHei"/>
    </x:font>
    <x:font>
      <x:sz val="9"/>
      <x:color rgb="FF008000"/>
      <x:name val="Microsoft YaHei"/>
    </x:font>
    <x:font>
      <x:b/>
      <x:sz val="11"/>
      <x:color rgb="FF166534"/>
      <x:name val="Microsoft YaHei"/>
    </x:font>
    <x:font>
      <x:b/>
      <x:sz val="9"/>
      <x:color rgb="FF166534"/>
      <x:name val="Microsoft YaHei"/>
    </x:font>
  </x:fonts>
  <x:fills count="6">
    <x:fill>
      <x:patternFill patternType="none"/>
    </x:fill>
    <x:fill>
      <x:patternFill patternType="gray125"/>
    </x:fill>
    <x:fill>
      <x:patternFill patternType="solid">
        <x:fgColor rgb="FF0B1F33"/>
      </x:patternFill>
    </x:fill>
    <x:fill>
      <x:patternFill patternType="solid">
        <x:fgColor rgb="FFDCEBFA"/>
      </x:patternFill>
    </x:fill>
    <x:fill>
      <x:patternFill patternType="solid">
        <x:fgColor rgb="FF0F766E"/>
      </x:patternFill>
    </x:fill>
    <x:fill>
      <x:patternFill patternType="solid">
        <x:fgColor rgb="FFDCFCE7"/>
      </x:patternFill>
    </x:fill>
  </x:fills>
  <x:borders count="2">
    <x:border/>
    <x:border>
      <x:bottom style="thin">
        <x:color rgb="FFCBD5E1"/>
      </x:bottom>
    </x:border>
  </x:borders>
  <x:cellStyleXfs count="1">
    <x:xf numFmtId="0" fontId="0" fillId="0" borderId="0"/>
  </x:cellStyleXfs>
  <x:cellXfs count="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5" fillId="0" borderId="0" xfId="0" applyNumberFormat="1" applyFont="1" applyFill="1" applyBorder="1"/>
    <x:xf numFmtId="0" fontId="5" fillId="0" borderId="1"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 xfId="0" applyNumberFormat="1" applyFont="1" applyFill="1" applyBorder="1" applyAlignment="1">
      <x:alignment vertical="top" wrapText="1"/>
    </x:xf>
    <x:xf numFmtId="0" fontId="7" fillId="5" borderId="0" xfId="0" applyNumberFormat="1" applyFont="1" applyFill="1" applyBorder="1" applyAlignment="1">
      <x:alignment horizontal="center" vertical="top" wrapText="1"/>
    </x:xf>
    <x:xf numFmtId="0" fontId="7" fillId="5" borderId="1" xfId="0" applyNumberFormat="1" applyFont="1" applyFill="1" applyBorder="1" applyAlignment="1">
      <x:alignment horizontal="center" vertical="top" wrapText="1"/>
    </x:xf>
    <x:xf numFmtId="0" fontId="1" fillId="2"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4" borderId="0" xfId="0" applyNumberFormat="1" applyFont="1" applyFill="1" applyBorder="1" applyAlignment="1">
      <x:alignment horizontal="center" vertical="top" wrapText="1"/>
    </x:xf>
    <x:xf numFmtId="0" fontId="6" fillId="5"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88ddf87eeb49a8" /><Relationship Type="http://schemas.openxmlformats.org/officeDocument/2006/relationships/theme" Target="/xl/theme/theme1.xml" Id="Rded07d85c3d44707" /><Relationship Type="http://schemas.openxmlformats.org/officeDocument/2006/relationships/sharedStrings" Target="/xl/sharedStrings.xml" Id="R07b30b28653a48dc" /><Relationship Type="http://schemas.openxmlformats.org/officeDocument/2006/relationships/worksheet" Target="/xl/worksheets/sheet1.xml" Id="R49afdae90ae74daa" /><Relationship Type="http://schemas.openxmlformats.org/officeDocument/2006/relationships/worksheet" Target="/xl/worksheets/sheet2.xml" Id="R314358a6e1bd4b1f" /><Relationship Type="http://schemas.openxmlformats.org/officeDocument/2006/relationships/worksheet" Target="/xl/worksheets/sheet3.xml" Id="Rdbaef1bf2f584f74" /><Relationship Type="http://schemas.openxmlformats.org/officeDocument/2006/relationships/worksheet" Target="/xl/worksheets/sheet4.xml" Id="Ra0879a46f40c41c2" /><Relationship Type="http://schemas.openxmlformats.org/officeDocument/2006/relationships/worksheet" Target="/xl/worksheets/sheet5.xml" Id="Rcfcee23add9c45ff" /><Relationship Type="http://schemas.openxmlformats.org/officeDocument/2006/relationships/worksheet" Target="/xl/worksheets/sheet6.xml" Id="R11d443112b994d0f" /><Relationship Type="http://schemas.openxmlformats.org/officeDocument/2006/relationships/worksheet" Target="/xl/worksheets/sheet7.xml" Id="R939568109b784341" /><Relationship Type="http://schemas.openxmlformats.org/officeDocument/2006/relationships/worksheet" Target="/xl/worksheets/sheet8.xml" Id="Rdbdb4aac19ee47fb" /><Relationship Type="http://schemas.openxmlformats.org/officeDocument/2006/relationships/worksheet" Target="/xl/worksheets/sheet9.xml" Id="Rc677d41085ad46f4" /><Relationship Type="http://schemas.openxmlformats.org/officeDocument/2006/relationships/worksheet" Target="/xl/worksheets/sheet10.xml" Id="Rf5bef8427a3f4d6e" /><Relationship Type="http://schemas.openxmlformats.org/officeDocument/2006/relationships/worksheet" Target="/xl/worksheets/sheet11.xml" Id="Rf19b92d511104547" /><Relationship Type="http://schemas.openxmlformats.org/officeDocument/2006/relationships/worksheet" Target="/xl/worksheets/sheet12.xml" Id="R9488f2529fbd47c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56" hidden="0" customWidth="1"/>
    <x:col min="4" max="4" width="34" hidden="0" customWidth="1"/>
    <x:col min="5" max="5" width="32" hidden="0" customWidth="1"/>
    <x:col min="6" max="6" width="32" hidden="0" customWidth="1"/>
    <x:col min="7" max="7" width="34" hidden="0" customWidth="1"/>
    <x:col min="8" max="8" width="38" hidden="0" customWidth="1"/>
  </x:cols>
  <x:sheetData>
    <x:row r="1" ht="32" customHeight="1">
      <x:c r="A1" s="34" t="str">
        <x:v>Week 9 结项与冻结</x:v>
      </x:c>
      <x:c r="B1" s="34"/>
      <x:c r="C1" s="34"/>
      <x:c r="D1" s="34"/>
      <x:c r="E1" s="34"/>
      <x:c r="F1" s="34"/>
      <x:c r="G1" s="34"/>
      <x:c r="H1" s="34"/>
    </x:row>
    <x:row r="2" ht="38" customHeight="1">
      <x:c r="A2" s="35" t="str">
        <x:v>Week9 Research Variables and Descriptive Analysis v1.0｜冻结日期 2026-08-14｜以Week8 Standard Dataset v1.0为不可变基础输入</x:v>
      </x:c>
      <x:c r="B2" s="35"/>
      <x:c r="C2" s="35"/>
      <x:c r="D2" s="35"/>
      <x:c r="E2" s="35"/>
      <x:c r="F2" s="35"/>
      <x:c r="G2" s="35"/>
      <x:c r="H2" s="35"/>
    </x:row>
    <x:row r="3">
      <x:c r="A3" s="36"/>
      <x:c r="B3" s="36"/>
      <x:c r="C3" s="36"/>
      <x:c r="D3" s="36"/>
      <x:c r="E3" s="36"/>
      <x:c r="F3" s="36"/>
      <x:c r="G3" s="36"/>
      <x:c r="H3" s="36"/>
    </x:row>
    <x:row r="4" ht="25" customHeight="1">
      <x:c r="A4" s="37" t="str">
        <x:v>A. 冻结结论</x:v>
      </x:c>
      <x:c r="B4" s="37"/>
      <x:c r="C4" s="37"/>
      <x:c r="D4" s="37"/>
      <x:c r="E4" s="37"/>
      <x:c r="F4" s="37"/>
      <x:c r="G4" s="37"/>
      <x:c r="H4" s="37"/>
    </x:row>
    <x:row r="5" ht="38" customHeight="1">
      <x:c r="A5" s="38" t="str">
        <x:v>项目</x:v>
      </x:c>
      <x:c r="B5" s="38" t="str">
        <x:v>冻结结果</x:v>
      </x:c>
      <x:c r="C5" s="38" t="str">
        <x:v>数量/状态</x:v>
      </x:c>
      <x:c r="D5" s="38" t="str">
        <x:v>数据层级</x:v>
      </x:c>
      <x:c r="E5" s="38" t="str">
        <x:v>依据</x:v>
      </x:c>
      <x:c r="F5" s="38" t="str">
        <x:v>是否进入Week10</x:v>
      </x:c>
      <x:c r="G5" s="38" t="str">
        <x:v>边界</x:v>
      </x:c>
      <x:c r="H5" s="38" t="str">
        <x:v>验收</x:v>
      </x:c>
    </x:row>
    <x:row r="6" ht="48" customHeight="1">
      <x:c r="A6" s="18" t="str">
        <x:v>样本公司</x:v>
      </x:c>
      <x:c r="B6" s="18" t="str">
        <x:v>8家公司</x:v>
      </x:c>
      <x:c r="C6" s="18" t="str">
        <x:v>8</x:v>
      </x:c>
      <x:c r="D6" s="18" t="str">
        <x:v>标准化值</x:v>
      </x:c>
      <x:c r="E6" s="18" t="str">
        <x:v>Week8冻结样本</x:v>
      </x:c>
      <x:c r="F6" s="18" t="str">
        <x:v>是</x:v>
      </x:c>
      <x:c r="G6" s="18" t="str">
        <x:v>小样本描述，不作总体推断</x:v>
      </x:c>
      <x:c r="H6" s="18" t="str">
        <x:v>PASS</x:v>
      </x:c>
    </x:row>
    <x:row r="7" ht="48" customHeight="1">
      <x:c r="A7" s="18" t="str">
        <x:v>基础描述统计</x:v>
      </x:c>
      <x:c r="B7" s="18" t="str">
        <x:v>6项核心统计</x:v>
      </x:c>
      <x:c r="C7" s="18" t="str">
        <x:v>6</x:v>
      </x:c>
      <x:c r="D7" s="18" t="str">
        <x:v>计算值</x:v>
      </x:c>
      <x:c r="E7" s="18" t="str">
        <x:v>Stage2</x:v>
      </x:c>
      <x:c r="F7" s="18" t="str">
        <x:v>是</x:v>
      </x:c>
      <x:c r="G7" s="18" t="str">
        <x:v>金额均为披露可核验下限</x:v>
      </x:c>
      <x:c r="H7" s="18" t="str">
        <x:v>PASS</x:v>
      </x:c>
    </x:row>
    <x:row r="8" ht="48" customHeight="1">
      <x:c r="A8" s="18" t="str">
        <x:v>候选研究变量</x:v>
      </x:c>
      <x:c r="B8" s="18" t="str">
        <x:v>变量字典与规则</x:v>
      </x:c>
      <x:c r="C8" s="18" t="str">
        <x:v>32</x:v>
      </x:c>
      <x:c r="D8" s="18" t="str">
        <x:v>研究定义</x:v>
      </x:c>
      <x:c r="E8" s="18" t="str">
        <x:v>Stage3</x:v>
      </x:c>
      <x:c r="F8" s="18" t="str">
        <x:v>是</x:v>
      </x:c>
      <x:c r="G8" s="18" t="str">
        <x:v>变量定义不等于理论构念已验证</x:v>
      </x:c>
      <x:c r="H8" s="18" t="str">
        <x:v>PASS</x:v>
      </x:c>
    </x:row>
    <x:row r="9" ht="48" customHeight="1">
      <x:c r="A9" s="18" t="str">
        <x:v>公司—变量状态</x:v>
      </x:c>
      <x:c r="B9" s="18" t="str">
        <x:v>最终冻结长表</x:v>
      </x:c>
      <x:c r="C9" s="18" t="str">
        <x:v>256</x:v>
      </x:c>
      <x:c r="D9" s="18" t="str">
        <x:v>计算值+状态</x:v>
      </x:c>
      <x:c r="E9" s="18" t="str">
        <x:v>Stage4C</x:v>
      </x:c>
      <x:c r="F9" s="18" t="str">
        <x:v>是</x:v>
      </x:c>
      <x:c r="G9" s="18" t="str">
        <x:v>null、0、结构性不适用分离</x:v>
      </x:c>
      <x:c r="H9" s="18" t="str">
        <x:v>PASS</x:v>
      </x:c>
    </x:row>
    <x:row r="10" ht="48" customHeight="1">
      <x:c r="A10" s="18" t="str">
        <x:v>数据修复</x:v>
      </x:c>
      <x:c r="B10" s="18" t="str">
        <x:v>证据链内修复单元</x:v>
      </x:c>
      <x:c r="C10" s="18" t="str">
        <x:v>10</x:v>
      </x:c>
      <x:c r="D10" s="18" t="str">
        <x:v>标准化/计算值</x:v>
      </x:c>
      <x:c r="E10" s="18" t="str">
        <x:v>Stage4B1—B4</x:v>
      </x:c>
      <x:c r="F10" s="18" t="str">
        <x:v>是</x:v>
      </x:c>
      <x:c r="G10" s="18" t="str">
        <x:v>未进行推测性填补</x:v>
      </x:c>
      <x:c r="H10" s="18" t="str">
        <x:v>PASS</x:v>
      </x:c>
    </x:row>
    <x:row r="11" ht="48" customHeight="1">
      <x:c r="A11" s="18" t="str">
        <x:v>剩余不可计算</x:v>
      </x:c>
      <x:c r="B11" s="18" t="str">
        <x:v>均为影石创新</x:v>
      </x:c>
      <x:c r="C11" s="18" t="str">
        <x:v>3</x:v>
      </x:c>
      <x:c r="D11" s="18" t="str">
        <x:v>状态值</x:v>
      </x:c>
      <x:c r="E11" s="18" t="str">
        <x:v>Stage4C</x:v>
      </x:c>
      <x:c r="F11" s="18" t="str">
        <x:v>是</x:v>
      </x:c>
      <x:c r="G11" s="18" t="str">
        <x:v>保持NOT_COMPUTABLE，不插补</x:v>
      </x:c>
      <x:c r="H11" s="18" t="str">
        <x:v>PASS</x:v>
      </x:c>
    </x:row>
    <x:row r="12" ht="48" customHeight="1">
      <x:c r="A12" s="19" t="str">
        <x:v>代表性公司</x:v>
      </x:c>
      <x:c r="B12" s="19" t="str">
        <x:v>暂不最终选择</x:v>
      </x:c>
      <x:c r="C12" s="19" t="str">
        <x:v>DEFERRED</x:v>
      </x:c>
      <x:c r="D12" s="19" t="str">
        <x:v>研究判断</x:v>
      </x:c>
      <x:c r="E12" s="19" t="str">
        <x:v>Stage6C+用户决定</x:v>
      </x:c>
      <x:c r="F12" s="19" t="str">
        <x:v>Week10后</x:v>
      </x:c>
      <x:c r="G12" s="19" t="str">
        <x:v>先研读VC/PE论文再修订方法</x:v>
      </x:c>
      <x:c r="H12" s="19" t="str">
        <x:v>PASS</x:v>
      </x:c>
    </x:row>
    <x:row r="13">
      <x:c r="A13" s="36"/>
      <x:c r="B13" s="36"/>
      <x:c r="C13" s="36"/>
      <x:c r="D13" s="36"/>
      <x:c r="E13" s="36"/>
      <x:c r="F13" s="36"/>
      <x:c r="G13" s="36"/>
      <x:c r="H13" s="36"/>
    </x:row>
    <x:row r="14">
      <x:c r="A14" s="36"/>
      <x:c r="B14" s="36"/>
      <x:c r="C14" s="36"/>
      <x:c r="D14" s="36"/>
      <x:c r="E14" s="36"/>
      <x:c r="F14" s="36"/>
      <x:c r="G14" s="36"/>
      <x:c r="H14" s="36"/>
    </x:row>
    <x:row r="15" ht="25" customHeight="1">
      <x:c r="A15" s="37" t="str">
        <x:v>B. 结项口径</x:v>
      </x:c>
      <x:c r="B15" s="37"/>
      <x:c r="C15" s="37"/>
      <x:c r="D15" s="37"/>
      <x:c r="E15" s="37"/>
      <x:c r="F15" s="37"/>
      <x:c r="G15" s="37"/>
      <x:c r="H15" s="37"/>
    </x:row>
    <x:row r="16" ht="38" customHeight="1">
      <x:c r="A16" s="38" t="str">
        <x:v>层级</x:v>
      </x:c>
      <x:c r="B16" s="38" t="str">
        <x:v>本周处理</x:v>
      </x:c>
      <x:c r="C16" s="38" t="str">
        <x:v>允许用途</x:v>
      </x:c>
      <x:c r="D16" s="38" t="str">
        <x:v>禁止用途</x:v>
      </x:c>
      <x:c r="E16" s="38" t="str">
        <x:v>空值规则</x:v>
      </x:c>
      <x:c r="F16" s="38" t="str">
        <x:v>版本状态</x:v>
      </x:c>
      <x:c r="G16" s="38" t="str">
        <x:v>下一步</x:v>
      </x:c>
      <x:c r="H16" s="38" t="str">
        <x:v>责任</x:v>
      </x:c>
    </x:row>
    <x:row r="17" ht="58" customHeight="1">
      <x:c r="A17" s="18" t="str">
        <x:v>原文披露值</x:v>
      </x:c>
      <x:c r="B17" s="18" t="str">
        <x:v>不改写Week8来源事实</x:v>
      </x:c>
      <x:c r="C17" s="18" t="str">
        <x:v>证据回查与引用</x:v>
      </x:c>
      <x:c r="D17" s="18" t="str">
        <x:v>用研究判断替代原文</x:v>
      </x:c>
      <x:c r="E17" s="18" t="str">
        <x:v>未披露保持null</x:v>
      </x:c>
      <x:c r="F17" s="18" t="str">
        <x:v>继承Week8冻结</x:v>
      </x:c>
      <x:c r="G17" s="18" t="str">
        <x:v>按论文方法决定是否补充定义</x:v>
      </x:c>
      <x:c r="H17" s="18" t="str">
        <x:v>Week8</x:v>
      </x:c>
    </x:row>
    <x:row r="18" ht="58" customHeight="1">
      <x:c r="A18" s="18" t="str">
        <x:v>标准化值</x:v>
      </x:c>
      <x:c r="B18" s="18" t="str">
        <x:v>沿用统一单位、ID和Schema</x:v>
      </x:c>
      <x:c r="C18" s="18" t="str">
        <x:v>跨公司比较底表</x:v>
      </x:c>
      <x:c r="D18" s="18" t="str">
        <x:v>回写或覆盖Week8</x:v>
      </x:c>
      <x:c r="E18" s="18" t="str">
        <x:v>不能把null变成0</x:v>
      </x:c>
      <x:c r="F18" s="18" t="str">
        <x:v>继承Week8冻结</x:v>
      </x:c>
      <x:c r="G18" s="18" t="str">
        <x:v>只读使用</x:v>
      </x:c>
      <x:c r="H18" s="18" t="str">
        <x:v>Week8</x:v>
      </x:c>
    </x:row>
    <x:row r="19" ht="58" customHeight="1">
      <x:c r="A19" s="18" t="str">
        <x:v>计算值</x:v>
      </x:c>
      <x:c r="B19" s="18" t="str">
        <x:v>按已记录公式形成统计与变量</x:v>
      </x:c>
      <x:c r="C19" s="18" t="str">
        <x:v>描述性分析、案例比较</x:v>
      </x:c>
      <x:c r="D19" s="18" t="str">
        <x:v>超出披露覆盖作精确推断</x:v>
      </x:c>
      <x:c r="E19" s="18" t="str">
        <x:v>分母不足则NOT_COMPUTABLE</x:v>
      </x:c>
      <x:c r="F19" s="18" t="str">
        <x:v>Week9冻结</x:v>
      </x:c>
      <x:c r="G19" s="18" t="str">
        <x:v>Week10可提出新版本方案</x:v>
      </x:c>
      <x:c r="H19" s="18" t="str">
        <x:v>Week9</x:v>
      </x:c>
    </x:row>
    <x:row r="20" ht="58" customHeight="1">
      <x:c r="A20" s="19" t="str">
        <x:v>研究判断</x:v>
      </x:c>
      <x:c r="B20" s="19" t="str">
        <x:v>变量角色、公司画像、候选组合</x:v>
      </x:c>
      <x:c r="C20" s="19" t="str">
        <x:v>提出问题与案例设计</x:v>
      </x:c>
      <x:c r="D20" s="19" t="str">
        <x:v>伪装成披露事实或因果结果</x:v>
      </x:c>
      <x:c r="E20" s="19" t="str">
        <x:v>边界写入判断说明</x:v>
      </x:c>
      <x:c r="F20" s="19" t="str">
        <x:v>Week9冻结</x:v>
      </x:c>
      <x:c r="G20" s="19" t="str">
        <x:v>经论文研读后另行修订</x:v>
      </x:c>
      <x:c r="H20" s="19" t="str">
        <x:v>Week9</x:v>
      </x:c>
    </x:row>
    <x:row r="21">
      <x:c r="A21" s="36"/>
      <x:c r="B21" s="36"/>
      <x:c r="C21" s="36"/>
      <x:c r="D21" s="36"/>
      <x:c r="E21" s="36"/>
      <x:c r="F21" s="36"/>
      <x:c r="G21" s="36"/>
      <x:c r="H21" s="36"/>
    </x:row>
    <x:row r="22">
      <x:c r="A22" s="36"/>
      <x:c r="B22" s="36"/>
      <x:c r="C22" s="36"/>
      <x:c r="D22" s="36"/>
      <x:c r="E22" s="36"/>
      <x:c r="F22" s="36"/>
      <x:c r="G22" s="36"/>
      <x:c r="H22" s="36"/>
    </x:row>
    <x:row r="23" ht="25" customHeight="1">
      <x:c r="A23" s="37" t="str">
        <x:v>C. 版本与可复现性</x:v>
      </x:c>
      <x:c r="B23" s="37"/>
      <x:c r="C23" s="37"/>
      <x:c r="D23" s="37"/>
      <x:c r="E23" s="37"/>
      <x:c r="F23" s="37"/>
      <x:c r="G23" s="37"/>
      <x:c r="H23" s="37"/>
    </x:row>
    <x:row r="24" ht="38" customHeight="1">
      <x:c r="A24" s="38" t="str">
        <x:v>对象</x:v>
      </x:c>
      <x:c r="B24" s="38" t="str">
        <x:v>版本/标识</x:v>
      </x:c>
      <x:c r="C24" s="38" t="str">
        <x:v>状态</x:v>
      </x:c>
      <x:c r="D24" s="38" t="str">
        <x:v>哈希/规则</x:v>
      </x:c>
      <x:c r="E24" s="38" t="str">
        <x:v>变更政策</x:v>
      </x:c>
      <x:c r="F24" s="38" t="str">
        <x:v>发布物</x:v>
      </x:c>
      <x:c r="G24" s="38" t="str">
        <x:v>验收标准</x:v>
      </x:c>
      <x:c r="H24" s="38" t="str">
        <x:v>结果</x:v>
      </x:c>
    </x:row>
    <x:row r="25" ht="52" customHeight="1">
      <x:c r="A25" s="18" t="str">
        <x:v>基础数据</x:v>
      </x:c>
      <x:c r="B25" s="18" t="str">
        <x:v>Week8 Standard Dataset v1.0</x:v>
      </x:c>
      <x:c r="C25" s="18" t="str">
        <x:v>FROZEN</x:v>
      </x:c>
      <x:c r="D25" s="18" t="str">
        <x:v>1d8849deab57796ac48f8356ec92aeb027cd52f38be1ae45e48c0434d0a14309</x:v>
      </x:c>
      <x:c r="E25" s="18" t="str">
        <x:v>禁止在Week9回写</x:v>
      </x:c>
      <x:c r="F25" s="18" t="str">
        <x:v>Week8原包仅作外部依赖</x:v>
      </x:c>
      <x:c r="G25" s="18" t="str">
        <x:v>哈希固定</x:v>
      </x:c>
      <x:c r="H25" s="18" t="str">
        <x:v>PASS</x:v>
      </x:c>
    </x:row>
    <x:row r="26" ht="52" customHeight="1">
      <x:c r="A26" s="18" t="str">
        <x:v>Week9成果</x:v>
      </x:c>
      <x:c r="B26" s="18" t="str">
        <x:v>Week9 Research Variables and Descriptive Analysis v1.0</x:v>
      </x:c>
      <x:c r="C26" s="18" t="str">
        <x:v>FROZEN</x:v>
      </x:c>
      <x:c r="D26" s="18" t="str">
        <x:v>见阶段成果清单与发布清单</x:v>
      </x:c>
      <x:c r="E26" s="18" t="str">
        <x:v>任何后续修改升版，不覆盖v1.0</x:v>
      </x:c>
      <x:c r="F26" s="18" t="str">
        <x:v>总工作簿+CSV+文档+脚本</x:v>
      </x:c>
      <x:c r="G26" s="18" t="str">
        <x:v>独立审计全部通过</x:v>
      </x:c>
      <x:c r="H26" s="18" t="str">
        <x:v>PASS</x:v>
      </x:c>
    </x:row>
    <x:row r="27" ht="52" customHeight="1">
      <x:c r="A27" s="19" t="str">
        <x:v>公司选择</x:v>
      </x:c>
      <x:c r="B27" s="19" t="str">
        <x:v>Stage6C候选组合</x:v>
      </x:c>
      <x:c r="C27" s="19" t="str">
        <x:v>DEFERRED</x:v>
      </x:c>
      <x:c r="D27" s="19" t="str">
        <x:v>无排名、无FINAL_SELECTED</x:v>
      </x:c>
      <x:c r="E27" s="19" t="str">
        <x:v>Week10形成研究方法后再决策</x:v>
      </x:c>
      <x:c r="F27" s="19" t="str">
        <x:v>候选组合暂存表</x:v>
      </x:c>
      <x:c r="G27" s="19" t="str">
        <x:v>最终选择数=0</x:v>
      </x:c>
      <x:c r="H27" s="19" t="str">
        <x:v>PASS</x:v>
      </x:c>
    </x:row>
  </x:sheetData>
  <x:mergeCells>
    <x:mergeCell ref="A1:H1"/>
    <x:mergeCell ref="A2:H2"/>
    <x:mergeCell ref="A4:H4"/>
    <x:mergeCell ref="A15:H15"/>
    <x:mergeCell ref="A23: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2" hidden="0" customWidth="1"/>
    <x:col min="3" max="3" width="62" hidden="0" customWidth="1"/>
    <x:col min="4" max="4" width="24" hidden="0" customWidth="1"/>
    <x:col min="5" max="5" width="58" hidden="0" customWidth="1"/>
    <x:col min="6" max="6" width="70" hidden="0" customWidth="1"/>
    <x:col min="7" max="7" width="24" hidden="0" customWidth="1"/>
    <x:col min="8" max="8" width="18" hidden="0" customWidth="1"/>
  </x:cols>
  <x:sheetData>
    <x:row r="1" ht="32" customHeight="1">
      <x:c r="A1" s="34" t="str">
        <x:v>Week 9 阶段成果清单</x:v>
      </x:c>
      <x:c r="B1" s="34"/>
      <x:c r="C1" s="34"/>
      <x:c r="D1" s="34"/>
      <x:c r="E1" s="34"/>
      <x:c r="F1" s="34"/>
      <x:c r="G1" s="34"/>
      <x:c r="H1" s="34"/>
    </x:row>
    <x:row r="2" ht="38" customHeight="1">
      <x:c r="A2" s="35" t="str">
        <x:v>16个阶段文件逐一固化SHA-256；原文件不修改，冻结总表只读汇总。</x:v>
      </x:c>
      <x:c r="B2" s="35"/>
      <x:c r="C2" s="35"/>
      <x:c r="D2" s="35"/>
      <x:c r="E2" s="35"/>
      <x:c r="F2" s="35"/>
      <x:c r="G2" s="35"/>
      <x:c r="H2" s="35"/>
    </x:row>
    <x:row r="3">
      <x:c r="A3" s="36"/>
      <x:c r="B3" s="36"/>
      <x:c r="C3" s="36"/>
      <x:c r="D3" s="36"/>
      <x:c r="E3" s="36"/>
      <x:c r="F3" s="36"/>
      <x:c r="G3" s="36"/>
      <x:c r="H3" s="36"/>
    </x:row>
    <x:row r="4" ht="38" customHeight="1">
      <x:c r="A4" s="38" t="str">
        <x:v>阶段ID</x:v>
      </x:c>
      <x:c r="B4" s="38" t="str">
        <x:v>阶段名称</x:v>
      </x:c>
      <x:c r="C4" s="38" t="str">
        <x:v>相对路径</x:v>
      </x:c>
      <x:c r="D4" s="38" t="str">
        <x:v>状态</x:v>
      </x:c>
      <x:c r="E4" s="38" t="str">
        <x:v>用途</x:v>
      </x:c>
      <x:c r="F4" s="38" t="str">
        <x:v>SHA-256</x:v>
      </x:c>
      <x:c r="G4" s="38" t="str">
        <x:v>纳入精简包</x:v>
      </x:c>
      <x:c r="H4" s="38" t="str">
        <x:v>验收</x:v>
      </x:c>
    </x:row>
    <x:row r="5" ht="54" customHeight="1">
      <x:c r="A5" s="18" t="str">
        <x:v>S01</x:v>
      </x:c>
      <x:c r="B5" s="18" t="str">
        <x:v>Stage 1 分析入口</x:v>
      </x:c>
      <x:c r="C5" s="18" t="str">
        <x:v>outputs/week9_stage01/week9_stage01_analysis_entry.xlsx</x:v>
      </x:c>
      <x:c r="D5" s="18" t="str">
        <x:v>FROZEN_INPUT</x:v>
      </x:c>
      <x:c r="E5" s="18" t="str">
        <x:v>确认Week8输入、层级和分析边界</x:v>
      </x:c>
      <x:c r="F5" s="18" t="str">
        <x:v>b3cc8d07837b292eab6106993b36356814a8f15e2ff051a9f86f61a03012c40e</x:v>
      </x:c>
      <x:c r="G5" s="18" t="str">
        <x:v>MANIFEST_ONLY</x:v>
      </x:c>
      <x:c r="H5" s="18" t="str">
        <x:v>PASS</x:v>
      </x:c>
    </x:row>
    <x:row r="6" ht="54" customHeight="1">
      <x:c r="A6" s="18" t="str">
        <x:v>S02</x:v>
      </x:c>
      <x:c r="B6" s="18" t="str">
        <x:v>Stage 2 基础描述统计</x:v>
      </x:c>
      <x:c r="C6" s="18" t="str">
        <x:v>outputs/week9_stage02/week9_stage02_descriptive_statistics.xlsx</x:v>
      </x:c>
      <x:c r="D6" s="18" t="str">
        <x:v>COMPLETE</x:v>
      </x:c>
      <x:c r="E6" s="18" t="str">
        <x:v>公司、轮次、交易、主体与路径的描述统计</x:v>
      </x:c>
      <x:c r="F6" s="18" t="str">
        <x:v>23089bc9fea8070dc4c1d6d6f4b65ce5be89e4206e08834641cebf14f2214aa6</x:v>
      </x:c>
      <x:c r="G6" s="18" t="str">
        <x:v>YES</x:v>
      </x:c>
      <x:c r="H6" s="18" t="str">
        <x:v>PASS</x:v>
      </x:c>
    </x:row>
    <x:row r="7" ht="54" customHeight="1">
      <x:c r="A7" s="18" t="str">
        <x:v>S03</x:v>
      </x:c>
      <x:c r="B7" s="18" t="str">
        <x:v>Stage 3 候选变量开发</x:v>
      </x:c>
      <x:c r="C7" s="18" t="str">
        <x:v>outputs/week9_stage03/week9_stage03_candidate_variable_development.xlsx</x:v>
      </x:c>
      <x:c r="D7" s="18" t="str">
        <x:v>COMPLETE</x:v>
      </x:c>
      <x:c r="E7" s="18" t="str">
        <x:v>32个候选变量及定义</x:v>
      </x:c>
      <x:c r="F7" s="18" t="str">
        <x:v>70bac2a76643722f408af0f5aefa22b7be786b45b475217b6dbc15e9a6cb1205</x:v>
      </x:c>
      <x:c r="G7" s="18" t="str">
        <x:v>YES</x:v>
      </x:c>
      <x:c r="H7" s="18" t="str">
        <x:v>PASS</x:v>
      </x:c>
    </x:row>
    <x:row r="8" ht="54" customHeight="1">
      <x:c r="A8" s="18" t="str">
        <x:v>S04</x:v>
      </x:c>
      <x:c r="B8" s="18" t="str">
        <x:v>Stage 4 可计算性与缺失</x:v>
      </x:c>
      <x:c r="C8" s="18" t="str">
        <x:v>outputs/week9_stage04/week9_stage04_variable_computability_and_missingness.xlsx</x:v>
      </x:c>
      <x:c r="D8" s="18" t="str">
        <x:v>SUPERSEDED_BY_S04C</x:v>
      </x:c>
      <x:c r="E8" s="18" t="str">
        <x:v>修复前变量状态审计</x:v>
      </x:c>
      <x:c r="F8" s="18" t="str">
        <x:v>3e1fc64ad38cdd35e652724f9edfe9c5cdd0cab32717b22743adab980dcec009</x:v>
      </x:c>
      <x:c r="G8" s="18" t="str">
        <x:v>MANIFEST_ONLY</x:v>
      </x:c>
      <x:c r="H8" s="18" t="str">
        <x:v>PASS</x:v>
      </x:c>
    </x:row>
    <x:row r="9" ht="54" customHeight="1">
      <x:c r="A9" s="18" t="str">
        <x:v>S04B1</x:v>
      </x:c>
      <x:c r="B9" s="18" t="str">
        <x:v>云汉芯城角色范围修复</x:v>
      </x:c>
      <x:c r="C9" s="18" t="str">
        <x:v>outputs/week9_stage04b1/week9_stage04b1_yunhan_role_scope_repair.xlsx</x:v>
      </x:c>
      <x:c r="D9" s="18" t="str">
        <x:v>COMPLETE</x:v>
      </x:c>
      <x:c r="E9" s="18" t="str">
        <x:v>角色范围与去重修复</x:v>
      </x:c>
      <x:c r="F9" s="18" t="str">
        <x:v>d9ce0c9c75d4d4ed2b4d34f1754f5e4b3eaf9d3899398c3476feb6538af6575b</x:v>
      </x:c>
      <x:c r="G9" s="18" t="str">
        <x:v>MANIFEST_ONLY</x:v>
      </x:c>
      <x:c r="H9" s="18" t="str">
        <x:v>PASS</x:v>
      </x:c>
    </x:row>
    <x:row r="10" ht="54" customHeight="1">
      <x:c r="A10" s="18" t="str">
        <x:v>S04B2</x:v>
      </x:c>
      <x:c r="B10" s="18" t="str">
        <x:v>友升股份PE/VC主体桥接修复</x:v>
      </x:c>
      <x:c r="C10" s="18" t="str">
        <x:v>outputs/week9_stage04b2/week9_stage04b2_yousheng_pevc_party_bridge_repair.xlsx</x:v>
      </x:c>
      <x:c r="D10" s="18" t="str">
        <x:v>COMPLETE</x:v>
      </x:c>
      <x:c r="E10" s="18" t="str">
        <x:v>PE/VC主体及轮次桥接</x:v>
      </x:c>
      <x:c r="F10" s="18" t="str">
        <x:v>ef968a1ab5b0cc2ba585e4ddbf960b7bd5f7440259743b24b5371573582e3b04</x:v>
      </x:c>
      <x:c r="G10" s="18" t="str">
        <x:v>MANIFEST_ONLY</x:v>
      </x:c>
      <x:c r="H10" s="18" t="str">
        <x:v>PASS</x:v>
      </x:c>
    </x:row>
    <x:row r="11" ht="54" customHeight="1">
      <x:c r="A11" s="18" t="str">
        <x:v>S04B3</x:v>
      </x:c>
      <x:c r="B11" s="18" t="str">
        <x:v>三协电机PE/VC路径修复</x:v>
      </x:c>
      <x:c r="C11" s="18" t="str">
        <x:v>outputs/week9_stage04b3/week9_stage04b3_sanxie_pevc_investment_path_repair.xlsx</x:v>
      </x:c>
      <x:c r="D11" s="18" t="str">
        <x:v>COMPLETE</x:v>
      </x:c>
      <x:c r="E11" s="18" t="str">
        <x:v>投资路径证据链修复</x:v>
      </x:c>
      <x:c r="F11" s="18" t="str">
        <x:v>e317c33c159e62012a8eae44689e29c56fc8196e17c8ff6b2c47291f53c414eb</x:v>
      </x:c>
      <x:c r="G11" s="18" t="str">
        <x:v>MANIFEST_ONLY</x:v>
      </x:c>
      <x:c r="H11" s="18" t="str">
        <x:v>PASS</x:v>
      </x:c>
    </x:row>
    <x:row r="12" ht="54" customHeight="1">
      <x:c r="A12" s="18" t="str">
        <x:v>S04B4</x:v>
      </x:c>
      <x:c r="B12" s="18" t="str">
        <x:v>黄山谷捷融资主体修复</x:v>
      </x:c>
      <x:c r="C12" s="18" t="str">
        <x:v>outputs/week9_stage04b4/week9_stage04b4_huangshan_financing_party_repair.xlsx</x:v>
      </x:c>
      <x:c r="D12" s="18" t="str">
        <x:v>COMPLETE</x:v>
      </x:c>
      <x:c r="E12" s="18" t="str">
        <x:v>融资参与方桥接修复</x:v>
      </x:c>
      <x:c r="F12" s="18" t="str">
        <x:v>54b4642f5ec185b25ffdca0ccb3828815a19017503681108e27c77a001b3874a</x:v>
      </x:c>
      <x:c r="G12" s="18" t="str">
        <x:v>MANIFEST_ONLY</x:v>
      </x:c>
      <x:c r="H12" s="18" t="str">
        <x:v>PASS</x:v>
      </x:c>
    </x:row>
    <x:row r="13" ht="54" customHeight="1">
      <x:c r="A13" s="18" t="str">
        <x:v>S04C</x:v>
      </x:c>
      <x:c r="B13" s="18" t="str">
        <x:v>变量可用性冻结</x:v>
      </x:c>
      <x:c r="C13" s="18" t="str">
        <x:v>outputs/week9_stage04c/week9_stage04c_variable_availability_frozen_v1.0.xlsx</x:v>
      </x:c>
      <x:c r="D13" s="18" t="str">
        <x:v>FROZEN</x:v>
      </x:c>
      <x:c r="E13" s="18" t="str">
        <x:v>256个公司—变量单元及最终状态</x:v>
      </x:c>
      <x:c r="F13" s="18" t="str">
        <x:v>1080c2161c40016eb95ef73732f5e00b6401dad7214b00334ced0674a030e21a</x:v>
      </x:c>
      <x:c r="G13" s="18" t="str">
        <x:v>YES</x:v>
      </x:c>
      <x:c r="H13" s="18" t="str">
        <x:v>PASS</x:v>
      </x:c>
    </x:row>
    <x:row r="14" ht="54" customHeight="1">
      <x:c r="A14" s="18" t="str">
        <x:v>S05A</x:v>
      </x:c>
      <x:c r="B14" s="18" t="str">
        <x:v>价值评估框架</x:v>
      </x:c>
      <x:c r="C14" s="18" t="str">
        <x:v>outputs/week9_stage05a/week9_stage05a_value_evaluation_framework_v1.0.xlsx</x:v>
      </x:c>
      <x:c r="D14" s="18" t="str">
        <x:v>COMPLETE</x:v>
      </x:c>
      <x:c r="E14" s="18" t="str">
        <x:v>学术与商业价值评估框架</x:v>
      </x:c>
      <x:c r="F14" s="18" t="str">
        <x:v>8a56f7dc003fe83762be14de31a5af4095059c75a4aceb444b6c7b6a1faf86b4</x:v>
      </x:c>
      <x:c r="G14" s="18" t="str">
        <x:v>MANIFEST_ONLY</x:v>
      </x:c>
      <x:c r="H14" s="18" t="str">
        <x:v>PASS</x:v>
      </x:c>
    </x:row>
    <x:row r="15" ht="54" customHeight="1">
      <x:c r="A15" s="18" t="str">
        <x:v>S05B</x:v>
      </x:c>
      <x:c r="B15" s="18" t="str">
        <x:v>学术价值筛选</x:v>
      </x:c>
      <x:c r="C15" s="18" t="str">
        <x:v>outputs/week9_stage05b/week9_stage05b_academic_value_screen_v1.0.xlsx</x:v>
      </x:c>
      <x:c r="D15" s="18" t="str">
        <x:v>COMPLETE</x:v>
      </x:c>
      <x:c r="E15" s="18" t="str">
        <x:v>学术用途与研究问题筛选</x:v>
      </x:c>
      <x:c r="F15" s="18" t="str">
        <x:v>8049fcbc87bafa72a63a905a49e5935369bde706864e22172a166ba0389491f6</x:v>
      </x:c>
      <x:c r="G15" s="18" t="str">
        <x:v>MANIFEST_ONLY</x:v>
      </x:c>
      <x:c r="H15" s="18" t="str">
        <x:v>PASS</x:v>
      </x:c>
    </x:row>
    <x:row r="16" ht="54" customHeight="1">
      <x:c r="A16" s="18" t="str">
        <x:v>S05C</x:v>
      </x:c>
      <x:c r="B16" s="18" t="str">
        <x:v>商业价值筛选</x:v>
      </x:c>
      <x:c r="C16" s="18" t="str">
        <x:v>outputs/week9_stage05c/week9_stage05c_commercial_value_screen_v1.0.xlsx</x:v>
      </x:c>
      <x:c r="D16" s="18" t="str">
        <x:v>COMPLETE</x:v>
      </x:c>
      <x:c r="E16" s="18" t="str">
        <x:v>商业用途与决策问题筛选</x:v>
      </x:c>
      <x:c r="F16" s="18" t="str">
        <x:v>0ab22a82f24d924ec440201c458585dc12d11242718ebd47ef2fe10777be4a01</x:v>
      </x:c>
      <x:c r="G16" s="18" t="str">
        <x:v>MANIFEST_ONLY</x:v>
      </x:c>
      <x:c r="H16" s="18" t="str">
        <x:v>PASS</x:v>
      </x:c>
    </x:row>
    <x:row r="17" ht="54" customHeight="1">
      <x:c r="A17" s="18" t="str">
        <x:v>S05D</x:v>
      </x:c>
      <x:c r="B17" s="18" t="str">
        <x:v>学术—商业价值整合</x:v>
      </x:c>
      <x:c r="C17" s="18" t="str">
        <x:v>outputs/week9_stage05d/week9_stage05d_academic_commercial_integration_v1.0.xlsx</x:v>
      </x:c>
      <x:c r="D17" s="18" t="str">
        <x:v>FROZEN</x:v>
      </x:c>
      <x:c r="E17" s="18" t="str">
        <x:v>变量角色、组合、轴和闸门</x:v>
      </x:c>
      <x:c r="F17" s="18" t="str">
        <x:v>e9cfb4e77163d1debaac0051711832a6d74146d54fcd9f3244cf02df7733739f</x:v>
      </x:c>
      <x:c r="G17" s="18" t="str">
        <x:v>YES</x:v>
      </x:c>
      <x:c r="H17" s="18" t="str">
        <x:v>PASS</x:v>
      </x:c>
    </x:row>
    <x:row r="18" ht="54" customHeight="1">
      <x:c r="A18" s="18" t="str">
        <x:v>S06A</x:v>
      </x:c>
      <x:c r="B18" s="18" t="str">
        <x:v>公司选择矩阵底表</x:v>
      </x:c>
      <x:c r="C18" s="18" t="str">
        <x:v>outputs/week9_stage06a/week9_stage06a_company_selection_matrix_base_v1.0.xlsx</x:v>
      </x:c>
      <x:c r="D18" s="18" t="str">
        <x:v>COMPLETE</x:v>
      </x:c>
      <x:c r="E18" s="18" t="str">
        <x:v>公司选择所需变量矩阵底表</x:v>
      </x:c>
      <x:c r="F18" s="18" t="str">
        <x:v>0c9104689bfd2510727dfff1c22cbb5e7f4beece939c54f53f75c7329183e8ba</x:v>
      </x:c>
      <x:c r="G18" s="18" t="str">
        <x:v>MANIFEST_ONLY</x:v>
      </x:c>
      <x:c r="H18" s="18" t="str">
        <x:v>PASS</x:v>
      </x:c>
    </x:row>
    <x:row r="19" ht="54" customHeight="1">
      <x:c r="A19" s="18" t="str">
        <x:v>S06B</x:v>
      </x:c>
      <x:c r="B19" s="18" t="str">
        <x:v>公司轴向初评</x:v>
      </x:c>
      <x:c r="C19" s="18" t="str">
        <x:v>outputs/week9_stage06b/week9_stage06b_company_axis_initial_assessment_v1.0.xlsx</x:v>
      </x:c>
      <x:c r="D19" s="18" t="str">
        <x:v>FROZEN</x:v>
      </x:c>
      <x:c r="E19" s="18" t="str">
        <x:v>8家公司画像与资格状态</x:v>
      </x:c>
      <x:c r="F19" s="18" t="str">
        <x:v>2dc4b20c75fa8f2f239adf23705c812e568c63bd702e7a3aec74a67ca383792d</x:v>
      </x:c>
      <x:c r="G19" s="18" t="str">
        <x:v>YES</x:v>
      </x:c>
      <x:c r="H19" s="18" t="str">
        <x:v>PASS</x:v>
      </x:c>
    </x:row>
    <x:row r="20" ht="54" customHeight="1">
      <x:c r="A20" s="19" t="str">
        <x:v>S06C</x:v>
      </x:c>
      <x:c r="B20" s="19" t="str">
        <x:v>案例互补性候选组合</x:v>
      </x:c>
      <x:c r="C20" s="19" t="str">
        <x:v>outputs/week9_stage06c/week9_stage06c_case_complementarity_candidate_portfolios_v1.0.xlsx</x:v>
      </x:c>
      <x:c r="D20" s="19" t="str">
        <x:v>FROZEN_CANDIDATES</x:v>
      </x:c>
      <x:c r="E20" s="19" t="str">
        <x:v>8个无排名候选组合；未最终选择</x:v>
      </x:c>
      <x:c r="F20" s="19" t="str">
        <x:v>68e2bdd29b25e5a55eaf7d0b306ea4d52a144ff882296b4234d0ce5db36142dd</x:v>
      </x:c>
      <x:c r="G20" s="19" t="str">
        <x:v>YES</x:v>
      </x:c>
      <x:c r="H20" s="19" t="str">
        <x:v>PASS</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42" hidden="0" customWidth="1"/>
    <x:col min="3" max="3" width="24"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2" hidden="0" customWidth="1"/>
    <x:col min="11" max="11" width="42" hidden="0" customWidth="1"/>
    <x:col min="12" max="12" width="44" hidden="0" customWidth="1"/>
    <x:col min="13" max="13" width="34" hidden="0" customWidth="1"/>
  </x:cols>
  <x:sheetData>
    <x:row r="1" ht="32" customHeight="1">
      <x:c r="A1" s="34" t="str">
        <x:v>八家公司基础描述统计</x:v>
      </x:c>
      <x:c r="B1" s="34"/>
      <x:c r="C1" s="34"/>
      <x:c r="D1" s="34"/>
      <x:c r="E1" s="34"/>
      <x:c r="F1" s="34"/>
      <x:c r="G1" s="34"/>
      <x:c r="H1" s="34"/>
      <x:c r="I1" s="34"/>
      <x:c r="J1" s="34"/>
      <x:c r="K1" s="34"/>
      <x:c r="L1" s="34"/>
      <x:c r="M1" s="34"/>
    </x:row>
    <x:row r="2" ht="38" customHeight="1">
      <x:c r="A2" s="35" t="str">
        <x:v>所有数值均来自Stage2；公司融资总额与轮次锚点合计口径不同，差额120万元已在Stage2登记。</x:v>
      </x:c>
      <x:c r="B2" s="35"/>
      <x:c r="C2" s="35"/>
      <x:c r="D2" s="35"/>
      <x:c r="E2" s="35"/>
      <x:c r="F2" s="35"/>
      <x:c r="G2" s="35"/>
      <x:c r="H2" s="35"/>
      <x:c r="I2" s="35"/>
      <x:c r="J2" s="35"/>
      <x:c r="K2" s="35"/>
      <x:c r="L2" s="35"/>
      <x:c r="M2" s="35"/>
    </x:row>
    <x:row r="3">
      <x:c r="A3" s="36"/>
      <x:c r="B3" s="36"/>
      <x:c r="C3" s="36"/>
      <x:c r="D3" s="36"/>
      <x:c r="E3" s="36"/>
      <x:c r="F3" s="36"/>
      <x:c r="G3" s="36"/>
      <x:c r="H3" s="36"/>
      <x:c r="I3" s="36"/>
      <x:c r="J3" s="36"/>
      <x:c r="K3" s="36"/>
      <x:c r="L3" s="36"/>
      <x:c r="M3" s="36"/>
    </x:row>
    <x:row r="4" ht="38" customHeight="1">
      <x:c r="A4" s="38" t="str">
        <x:v>观察单位</x:v>
      </x:c>
      <x:c r="B4" s="38" t="str">
        <x:v>指标</x:v>
      </x:c>
      <x:c r="C4" s="38" t="str">
        <x:v>总N</x:v>
      </x:c>
      <x:c r="D4" s="38" t="str">
        <x:v>有效N</x:v>
      </x:c>
      <x:c r="E4" s="38" t="str">
        <x:v>缺失N</x:v>
      </x:c>
      <x:c r="F4" s="38" t="str">
        <x:v>总和</x:v>
      </x:c>
      <x:c r="G4" s="38" t="str">
        <x:v>均值</x:v>
      </x:c>
      <x:c r="H4" s="38" t="str">
        <x:v>中位数</x:v>
      </x:c>
      <x:c r="I4" s="38" t="str">
        <x:v>Q1</x:v>
      </x:c>
      <x:c r="J4" s="38" t="str">
        <x:v>Q3</x:v>
      </x:c>
      <x:c r="K4" s="38" t="str">
        <x:v>最小值</x:v>
      </x:c>
      <x:c r="L4" s="38" t="str">
        <x:v>最大值</x:v>
      </x:c>
      <x:c r="M4" s="38" t="str">
        <x:v>解释边界</x:v>
      </x:c>
    </x:row>
    <x:row r="5" ht="46" customHeight="1">
      <x:c r="A5" s="24" t="str">
        <x:v>公司</x:v>
      </x:c>
      <x:c r="B5" s="24" t="str">
        <x:v>上市前直接股权融资轮次</x:v>
      </x:c>
      <x:c r="C5" s="24" t="n">
        <x:v>8</x:v>
      </x:c>
      <x:c r="D5" s="24" t="n">
        <x:v>8</x:v>
      </x:c>
      <x:c r="E5" s="24" t="n">
        <x:v>0</x:v>
      </x:c>
      <x:c r="F5" s="24" t="n">
        <x:v>18</x:v>
      </x:c>
      <x:c r="G5" s="24" t="n">
        <x:v>2.25</x:v>
      </x:c>
      <x:c r="H5" s="24" t="n">
        <x:v>2</x:v>
      </x:c>
      <x:c r="I5" s="24" t="n">
        <x:v>1</x:v>
      </x:c>
      <x:c r="J5" s="24" t="n">
        <x:v>2.25</x:v>
      </x:c>
      <x:c r="K5" s="24" t="n">
        <x:v>0</x:v>
      </x:c>
      <x:c r="L5" s="24" t="n">
        <x:v>7</x:v>
      </x:c>
      <x:c r="M5" s="24" t="str">
        <x:v>8家公司均可计算；0仅表示当前清晰披露范围内未识别融资轮，不自动等于完整历史融资为0。</x:v>
      </x:c>
    </x:row>
    <x:row r="6" ht="46" customHeight="1">
      <x:c r="A6" s="24" t="str">
        <x:v>公司</x:v>
      </x:c>
      <x:c r="B6" s="24" t="str">
        <x:v>可核验公司融资金额下限（万元）</x:v>
      </x:c>
      <x:c r="C6" s="24" t="n">
        <x:v>8</x:v>
      </x:c>
      <x:c r="D6" s="24" t="n">
        <x:v>7</x:v>
      </x:c>
      <x:c r="E6" s="24" t="n">
        <x:v>1</x:v>
      </x:c>
      <x:c r="F6" s="24" t="n">
        <x:v>173663.58827399998</x:v>
      </x:c>
      <x:c r="G6" s="24" t="n">
        <x:v>24809.084039142854</x:v>
      </x:c>
      <x:c r="H6" s="24" t="n">
        <x:v>13655.098274</x:v>
      </x:c>
      <x:c r="I6" s="24" t="n">
        <x:v>4411.245</x:v>
      </x:c>
      <x:c r="J6" s="24" t="n">
        <x:v>37810</x:v>
      </x:c>
      <x:c r="K6" s="24" t="n">
        <x:v>1566</x:v>
      </x:c>
      <x:c r="L6" s="24" t="n">
        <x:v>74000</x:v>
      </x:c>
      <x:c r="M6" s="24" t="str">
        <x:v>仅7家公司非空；影石创新为不可还原而非0；云汉芯城为已知下限。</x:v>
      </x:c>
    </x:row>
    <x:row r="7" ht="46" customHeight="1">
      <x:c r="A7" s="24" t="str">
        <x:v>公司</x:v>
      </x:c>
      <x:c r="B7" s="24" t="str">
        <x:v>可核验股权转让对价下限（万元）</x:v>
      </x:c>
      <x:c r="C7" s="24" t="n">
        <x:v>8</x:v>
      </x:c>
      <x:c r="D7" s="24" t="n">
        <x:v>4</x:v>
      </x:c>
      <x:c r="E7" s="24" t="n">
        <x:v>4</x:v>
      </x:c>
      <x:c r="F7" s="24" t="n">
        <x:v>17480.908</x:v>
      </x:c>
      <x:c r="G7" s="24" t="n">
        <x:v>4370.227</x:v>
      </x:c>
      <x:c r="H7" s="24" t="n">
        <x:v>2231.3563</x:v>
      </x:c>
      <x:c r="I7" s="24" t="n">
        <x:v>1097.03445</x:v>
      </x:c>
      <x:c r="J7" s="24" t="n">
        <x:v>5504.54885</x:v>
      </x:c>
      <x:c r="K7" s="24" t="n">
        <x:v>0</x:v>
      </x:c>
      <x:c r="L7" s="24" t="n">
        <x:v>13018.1954</x:v>
      </x:c>
      <x:c r="M7" s="24" t="str">
        <x:v>仅4家公司存在可用值，其中黄山谷捷原文明示为0；其余null不转0。</x:v>
      </x:c>
    </x:row>
    <x:row r="8" ht="46" customHeight="1">
      <x:c r="A8" s="24" t="str">
        <x:v>公司</x:v>
      </x:c>
      <x:c r="B8" s="24" t="str">
        <x:v>直接法律主体数</x:v>
      </x:c>
      <x:c r="C8" s="24" t="n">
        <x:v>8</x:v>
      </x:c>
      <x:c r="D8" s="24" t="n">
        <x:v>8</x:v>
      </x:c>
      <x:c r="E8" s="24" t="n">
        <x:v>0</x:v>
      </x:c>
      <x:c r="F8" s="24" t="n">
        <x:v>93</x:v>
      </x:c>
      <x:c r="G8" s="24" t="n">
        <x:v>11.625</x:v>
      </x:c>
      <x:c r="H8" s="24" t="n">
        <x:v>9.5</x:v>
      </x:c>
      <x:c r="I8" s="24" t="n">
        <x:v>2.5</x:v>
      </x:c>
      <x:c r="J8" s="24" t="n">
        <x:v>17</x:v>
      </x:c>
      <x:c r="K8" s="24" t="n">
        <x:v>1</x:v>
      </x:c>
      <x:c r="L8" s="24" t="n">
        <x:v>35</x:v>
      </x:c>
      <x:c r="M8" s="24" t="str">
        <x:v>公司内唯一直接法律主体数；不等于确认PE/VC主体数。</x:v>
      </x:c>
    </x:row>
    <x:row r="9" ht="46" customHeight="1">
      <x:c r="A9" s="24" t="str">
        <x:v>公司</x:v>
      </x:c>
      <x:c r="B9" s="24" t="str">
        <x:v>确认PE/VC法律主体数</x:v>
      </x:c>
      <x:c r="C9" s="24" t="n">
        <x:v>8</x:v>
      </x:c>
      <x:c r="D9" s="24" t="n">
        <x:v>8</x:v>
      </x:c>
      <x:c r="E9" s="24" t="n">
        <x:v>0</x:v>
      </x:c>
      <x:c r="F9" s="24" t="n">
        <x:v>16</x:v>
      </x:c>
      <x:c r="G9" s="24" t="n">
        <x:v>2</x:v>
      </x:c>
      <x:c r="H9" s="24" t="n">
        <x:v>0</x:v>
      </x:c>
      <x:c r="I9" s="24" t="n">
        <x:v>0</x:v>
      </x:c>
      <x:c r="J9" s="24" t="n">
        <x:v>2</x:v>
      </x:c>
      <x:c r="K9" s="24" t="n">
        <x:v>0</x:v>
      </x:c>
      <x:c r="L9" s="24" t="n">
        <x:v>12</x:v>
      </x:c>
      <x:c r="M9" s="24" t="str">
        <x:v>仅统计PEVC_CONFIRMED；candidate/related/unresolved不计入。</x:v>
      </x:c>
    </x:row>
    <x:row r="10" ht="46" customHeight="1">
      <x:c r="A10" s="25" t="str">
        <x:v>融资轮次</x:v>
      </x:c>
      <x:c r="B10" s="25" t="str">
        <x:v>单轮可核验融资金额（万元）</x:v>
      </x:c>
      <x:c r="C10" s="25" t="n">
        <x:v>18</x:v>
      </x:c>
      <x:c r="D10" s="25" t="n">
        <x:v>14</x:v>
      </x:c>
      <x:c r="E10" s="25" t="n">
        <x:v>4</x:v>
      </x:c>
      <x:c r="F10" s="25" t="n">
        <x:v>173543.58827399998</x:v>
      </x:c>
      <x:c r="G10" s="25" t="n">
        <x:v>12395.970591</x:v>
      </x:c>
      <x:c r="H10" s="25" t="n">
        <x:v>6000</x:v>
      </x:c>
      <x:c r="I10" s="25" t="n">
        <x:v>2187.20966</x:v>
      </x:c>
      <x:c r="J10" s="25" t="n">
        <x:v>14132.571348499998</x:v>
      </x:c>
      <x:c r="K10" s="25" t="n">
        <x:v>1500</x:v>
      </x:c>
      <x:c r="L10" s="25" t="n">
        <x:v>54000</x:v>
      </x:c>
      <x:c r="M10" s="25" t="str">
        <x:v>18轮事件锚点中14轮金额非空、4轮未披露；锚点合计比公司/交易组成层少120万元，差额来自云汉CE-010分组中的TRX-301563-INC-007。</x:v>
      </x:c>
    </x:row>
  </x:sheetData>
  <x:mergeCells>
    <x:mergeCell ref="A1:M1"/>
    <x:mergeCell ref="A2:M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25" hidden="0" customWidth="1"/>
    <x:col min="4" max="4" width="18" hidden="0" customWidth="1"/>
    <x:col min="5" max="5" width="16" hidden="0" customWidth="1"/>
    <x:col min="6" max="6" width="18" hidden="0" customWidth="1"/>
    <x:col min="7" max="7" width="46" hidden="0" customWidth="1"/>
    <x:col min="8" max="8" width="52" hidden="0" customWidth="1"/>
    <x:col min="9" max="9" width="32" hidden="0" customWidth="1"/>
    <x:col min="10" max="10" width="32" hidden="0" customWidth="1"/>
    <x:col min="11" max="11" width="40" hidden="0" customWidth="1"/>
    <x:col min="12" max="12" width="38" hidden="0" customWidth="1"/>
    <x:col min="13" max="13" width="38" hidden="0" customWidth="1"/>
    <x:col min="14" max="14" width="30" hidden="0" customWidth="1"/>
    <x:col min="15" max="15" width="34" hidden="0" customWidth="1"/>
  </x:cols>
  <x:sheetData>
    <x:row r="1" ht="32" customHeight="1">
      <x:c r="A1" s="34" t="str">
        <x:v>候选研究变量字典</x:v>
      </x:c>
      <x:c r="B1" s="34"/>
      <x:c r="C1" s="34"/>
      <x:c r="D1" s="34"/>
      <x:c r="E1" s="34"/>
      <x:c r="F1" s="34"/>
      <x:c r="G1" s="34"/>
      <x:c r="H1" s="34"/>
      <x:c r="I1" s="34"/>
      <x:c r="J1" s="34"/>
      <x:c r="K1" s="34"/>
      <x:c r="L1" s="34"/>
      <x:c r="M1" s="34"/>
      <x:c r="N1" s="34"/>
      <x:c r="O1" s="34"/>
    </x:row>
    <x:row r="2" ht="38" customHeight="1">
      <x:c r="A2" s="35" t="str">
        <x:v>32个变量的构念、定义、单位、算法与解释边界；绿色字体表示从冻结阶段成果导入。</x:v>
      </x:c>
      <x:c r="B2" s="35"/>
      <x:c r="C2" s="35"/>
      <x:c r="D2" s="35"/>
      <x:c r="E2" s="35"/>
      <x:c r="F2" s="35"/>
      <x:c r="G2" s="35"/>
      <x:c r="H2" s="35"/>
      <x:c r="I2" s="35"/>
      <x:c r="J2" s="35"/>
      <x:c r="K2" s="35"/>
      <x:c r="L2" s="35"/>
      <x:c r="M2" s="35"/>
      <x:c r="N2" s="35"/>
      <x:c r="O2" s="35"/>
    </x:row>
    <x:row r="3">
      <x:c r="A3" s="36"/>
      <x:c r="B3" s="36"/>
      <x:c r="C3" s="36"/>
      <x:c r="D3" s="36"/>
      <x:c r="E3" s="36"/>
      <x:c r="F3" s="36"/>
      <x:c r="G3" s="36"/>
      <x:c r="H3" s="36"/>
      <x:c r="I3" s="36"/>
      <x:c r="J3" s="36"/>
      <x:c r="K3" s="36"/>
      <x:c r="L3" s="36"/>
      <x:c r="M3" s="36"/>
      <x:c r="N3" s="36"/>
      <x:c r="O3" s="36"/>
    </x:row>
    <x:row r="4" ht="38" customHeight="1">
      <x:c r="A4" s="38" t="str">
        <x:v>变量ID</x:v>
      </x:c>
      <x:c r="B4" s="38" t="str">
        <x:v>英文变量名</x:v>
      </x:c>
      <x:c r="C4" s="38" t="str">
        <x:v>中文名称</x:v>
      </x:c>
      <x:c r="D4" s="38" t="str">
        <x:v>研究构念</x:v>
      </x:c>
      <x:c r="E4" s="38" t="str">
        <x:v>优先级</x:v>
      </x:c>
      <x:c r="F4" s="38" t="str">
        <x:v>观察层级</x:v>
      </x:c>
      <x:c r="G4" s="38" t="str">
        <x:v>潜在研究角色</x:v>
      </x:c>
      <x:c r="H4" s="38" t="str">
        <x:v>变量类型</x:v>
      </x:c>
      <x:c r="I4" s="38" t="str">
        <x:v>单位</x:v>
      </x:c>
      <x:c r="J4" s="38" t="str">
        <x:v>定义</x:v>
      </x:c>
      <x:c r="K4" s="38" t="str">
        <x:v>为什么定义</x:v>
      </x:c>
      <x:c r="L4" s="38" t="str">
        <x:v>数据层</x:v>
      </x:c>
      <x:c r="M4" s="38" t="str">
        <x:v>开发状态</x:v>
      </x:c>
      <x:c r="N4" s="38" t="str">
        <x:v>ID出现次数</x:v>
      </x:c>
      <x:c r="O4" s="38" t="str">
        <x:v>名称出现次数</x:v>
      </x:c>
    </x:row>
    <x:row r="5" ht="62" customHeight="1">
      <x:c r="A5" s="24" t="str">
        <x:v>CV001</x:v>
      </x:c>
      <x:c r="B5" s="24" t="str">
        <x:v>has_preipo_direct_equity_financing</x:v>
      </x:c>
      <x:c r="C5" s="24" t="str">
        <x:v>上市前直接股权融资发生标记</x:v>
      </x:c>
      <x:c r="D5" s="24" t="str">
        <x:v>融资经历</x:v>
      </x:c>
      <x:c r="E5" s="24" t="str">
        <x:v>A核心</x:v>
      </x:c>
      <x:c r="F5" s="24" t="str">
        <x:v>公司层</x:v>
      </x:c>
      <x:c r="G5" s="24" t="str">
        <x:v>分组/解释变量</x:v>
      </x:c>
      <x:c r="H5" s="24" t="str">
        <x:v>BINARY</x:v>
      </x:c>
      <x:c r="I5" s="24" t="str">
        <x:v>0/1</x:v>
      </x:c>
      <x:c r="J5" s="24" t="str">
        <x:v>公司是否至少存在1轮按统一口径计入的上市前直接股权融资。</x:v>
      </x:c>
      <x:c r="K5" s="24" t="str">
        <x:v>把“是否融资”与“融资多少”分开，避免零轮公司在金额变量中被误作普通低值。</x:v>
      </x:c>
      <x:c r="L5" s="24" t="str">
        <x:v>研究判断派生</x:v>
      </x:c>
      <x:c r="M5" s="24" t="str">
        <x:v>CANDIDATE_DEFINED_NOT_COMPUTED</x:v>
      </x:c>
      <x:c r="N5" s="24" t="n">
        <x:v>1</x:v>
      </x:c>
      <x:c r="O5" s="24" t="n">
        <x:v>1</x:v>
      </x:c>
    </x:row>
    <x:row r="6" ht="62" customHeight="1">
      <x:c r="A6" s="24" t="str">
        <x:v>CV002</x:v>
      </x:c>
      <x:c r="B6" s="24" t="str">
        <x:v>financing_round_count</x:v>
      </x:c>
      <x:c r="C6" s="24" t="str">
        <x:v>上市前直接股权融资轮数</x:v>
      </x:c>
      <x:c r="D6" s="24" t="str">
        <x:v>融资频度</x:v>
      </x:c>
      <x:c r="E6" s="24" t="str">
        <x:v>A核心</x:v>
      </x:c>
      <x:c r="F6" s="24" t="str">
        <x:v>公司层</x:v>
      </x:c>
      <x:c r="G6" s="24" t="str">
        <x:v>解释/案例选择变量</x:v>
      </x:c>
      <x:c r="H6" s="24" t="str">
        <x:v>INTEGER</x:v>
      </x:c>
      <x:c r="I6" s="24" t="str">
        <x:v>轮</x:v>
      </x:c>
      <x:c r="J6" s="24" t="str">
        <x:v>financing_round_flag=TRUE的公司内事件数。</x:v>
      </x:c>
      <x:c r="K6" s="24" t="str">
        <x:v>刻画企业上市前通过直接股权融资反复进入资本市场的频度。</x:v>
      </x:c>
      <x:c r="L6" s="24" t="str">
        <x:v>研究判断</x:v>
      </x:c>
      <x:c r="M6" s="24" t="str">
        <x:v>CANDIDATE_DEFINED_NOT_COMPUTED</x:v>
      </x:c>
      <x:c r="N6" s="24" t="n">
        <x:v>1</x:v>
      </x:c>
      <x:c r="O6" s="24" t="n">
        <x:v>1</x:v>
      </x:c>
    </x:row>
    <x:row r="7" ht="62" customHeight="1">
      <x:c r="A7" s="24" t="str">
        <x:v>CV003</x:v>
      </x:c>
      <x:c r="B7" s="24" t="str">
        <x:v>financing_amount_lower_bound_10k_cny</x:v>
      </x:c>
      <x:c r="C7" s="24" t="str">
        <x:v>可核验融资金额下限</x:v>
      </x:c>
      <x:c r="D7" s="24" t="str">
        <x:v>融资规模</x:v>
      </x:c>
      <x:c r="E7" s="24" t="str">
        <x:v>A核心</x:v>
      </x:c>
      <x:c r="F7" s="24" t="str">
        <x:v>公司层</x:v>
      </x:c>
      <x:c r="G7" s="24" t="str">
        <x:v>解释/案例选择变量</x:v>
      </x:c>
      <x:c r="H7" s="24" t="str">
        <x:v>CONTINUOUS</x:v>
      </x:c>
      <x:c r="I7" s="24" t="str">
        <x:v>万元人民币</x:v>
      </x:c>
      <x:c r="J7" s="24" t="str">
        <x:v>目前可由披露值或明确计算值支持的发行人上市前直接股权融资金额下限。</x:v>
      </x:c>
      <x:c r="K7" s="24" t="str">
        <x:v>在轮次数之外衡量可核验的融资规模，并保留披露不完整时的下限含义。</x:v>
      </x:c>
      <x:c r="L7" s="24" t="str">
        <x:v>标准化值+计算值</x:v>
      </x:c>
      <x:c r="M7" s="24" t="str">
        <x:v>CANDIDATE_DEFINED_NOT_COMPUTED</x:v>
      </x:c>
      <x:c r="N7" s="24" t="n">
        <x:v>1</x:v>
      </x:c>
      <x:c r="O7" s="24" t="n">
        <x:v>1</x:v>
      </x:c>
    </x:row>
    <x:row r="8" ht="62" customHeight="1">
      <x:c r="A8" s="24" t="str">
        <x:v>CV004</x:v>
      </x:c>
      <x:c r="B8" s="24" t="str">
        <x:v>log1p_financing_amount_lower_bound</x:v>
      </x:c>
      <x:c r="C8" s="24" t="str">
        <x:v>融资金额下限对数</x:v>
      </x:c>
      <x:c r="D8" s="24" t="str">
        <x:v>融资规模</x:v>
      </x:c>
      <x:c r="E8" s="24" t="str">
        <x:v>B扩展</x:v>
      </x:c>
      <x:c r="F8" s="24" t="str">
        <x:v>公司层</x:v>
      </x:c>
      <x:c r="G8" s="24" t="str">
        <x:v>稳健性/替代解释变量</x:v>
      </x:c>
      <x:c r="H8" s="24" t="str">
        <x:v>CONTINUOUS</x:v>
      </x:c>
      <x:c r="I8" s="24" t="str">
        <x:v>ln(1+万元)</x:v>
      </x:c>
      <x:c r="J8" s="24" t="str">
        <x:v>对可核验融资金额下限进行ln(1+x)变换。</x:v>
      </x:c>
      <x:c r="K8" s="24" t="str">
        <x:v>融资金额通常右偏；对数形式便于比较比例差异，但不改变数据缺失边界。</x:v>
      </x:c>
      <x:c r="L8" s="24" t="str">
        <x:v>计算值</x:v>
      </x:c>
      <x:c r="M8" s="24" t="str">
        <x:v>CANDIDATE_DEFINED_NOT_COMPUTED</x:v>
      </x:c>
      <x:c r="N8" s="24" t="n">
        <x:v>1</x:v>
      </x:c>
      <x:c r="O8" s="24" t="n">
        <x:v>1</x:v>
      </x:c>
    </x:row>
    <x:row r="9" ht="62" customHeight="1">
      <x:c r="A9" s="24" t="str">
        <x:v>CV005</x:v>
      </x:c>
      <x:c r="B9" s="24" t="str">
        <x:v>mean_known_round_amount_10k_cny</x:v>
      </x:c>
      <x:c r="C9" s="24" t="str">
        <x:v>已知金额轮次均值</x:v>
      </x:c>
      <x:c r="D9" s="24" t="str">
        <x:v>单轮融资规模</x:v>
      </x:c>
      <x:c r="E9" s="24" t="str">
        <x:v>A核心</x:v>
      </x:c>
      <x:c r="F9" s="24" t="str">
        <x:v>公司层</x:v>
      </x:c>
      <x:c r="G9" s="24" t="str">
        <x:v>解释/案例选择变量</x:v>
      </x:c>
      <x:c r="H9" s="24" t="str">
        <x:v>CONTINUOUS</x:v>
      </x:c>
      <x:c r="I9" s="24" t="str">
        <x:v>万元人民币/已知轮</x:v>
      </x:c>
      <x:c r="J9" s="24" t="str">
        <x:v>公司内金额非null的融资轮事件锚点金额算术平均数。</x:v>
      </x:c>
      <x:c r="K9" s="24" t="str">
        <x:v>区分总融资规模与典型单轮规模，避免轮次多的企业仅因次数获得更高总额。</x:v>
      </x:c>
      <x:c r="L9" s="24" t="str">
        <x:v>计算值</x:v>
      </x:c>
      <x:c r="M9" s="24" t="str">
        <x:v>CANDIDATE_DEFINED_NOT_COMPUTED</x:v>
      </x:c>
      <x:c r="N9" s="24" t="n">
        <x:v>1</x:v>
      </x:c>
      <x:c r="O9" s="24" t="n">
        <x:v>1</x:v>
      </x:c>
    </x:row>
    <x:row r="10" ht="62" customHeight="1">
      <x:c r="A10" s="24" t="str">
        <x:v>CV006</x:v>
      </x:c>
      <x:c r="B10" s="24" t="str">
        <x:v>median_known_round_amount_10k_cny</x:v>
      </x:c>
      <x:c r="C10" s="24" t="str">
        <x:v>已知金额轮次中位数</x:v>
      </x:c>
      <x:c r="D10" s="24" t="str">
        <x:v>单轮融资规模</x:v>
      </x:c>
      <x:c r="E10" s="24" t="str">
        <x:v>B扩展</x:v>
      </x:c>
      <x:c r="F10" s="24" t="str">
        <x:v>公司层</x:v>
      </x:c>
      <x:c r="G10" s="24" t="str">
        <x:v>稳健性/案例选择变量</x:v>
      </x:c>
      <x:c r="H10" s="24" t="str">
        <x:v>CONTINUOUS</x:v>
      </x:c>
      <x:c r="I10" s="24" t="str">
        <x:v>万元人民币/已知轮</x:v>
      </x:c>
      <x:c r="J10" s="24" t="str">
        <x:v>公司内金额非null的融资轮事件锚点金额中位数。</x:v>
      </x:c>
      <x:c r="K10" s="24" t="str">
        <x:v>降低极端大额轮次对典型融资规模描述的影响。</x:v>
      </x:c>
      <x:c r="L10" s="24" t="str">
        <x:v>计算值</x:v>
      </x:c>
      <x:c r="M10" s="24" t="str">
        <x:v>CANDIDATE_DEFINED_NOT_COMPUTED</x:v>
      </x:c>
      <x:c r="N10" s="24" t="n">
        <x:v>1</x:v>
      </x:c>
      <x:c r="O10" s="24" t="n">
        <x:v>1</x:v>
      </x:c>
    </x:row>
    <x:row r="11" ht="62" customHeight="1">
      <x:c r="A11" s="24" t="str">
        <x:v>CV007</x:v>
      </x:c>
      <x:c r="B11" s="24" t="str">
        <x:v>largest_known_round_amount_10k_cny</x:v>
      </x:c>
      <x:c r="C11" s="24" t="str">
        <x:v>最大已知单轮融资金额</x:v>
      </x:c>
      <x:c r="D11" s="24" t="str">
        <x:v>融资峰值</x:v>
      </x:c>
      <x:c r="E11" s="24" t="str">
        <x:v>B扩展</x:v>
      </x:c>
      <x:c r="F11" s="24" t="str">
        <x:v>公司层</x:v>
      </x:c>
      <x:c r="G11" s="24" t="str">
        <x:v>案例选择变量</x:v>
      </x:c>
      <x:c r="H11" s="24" t="str">
        <x:v>CONTINUOUS</x:v>
      </x:c>
      <x:c r="I11" s="24" t="str">
        <x:v>万元人民币</x:v>
      </x:c>
      <x:c r="J11" s="24" t="str">
        <x:v>公司内金额非null融资轮事件锚点金额的最大值。</x:v>
      </x:c>
      <x:c r="K11" s="24" t="str">
        <x:v>识别是否存在显著的大额关键融资轮，服务于代表性案例筛选。</x:v>
      </x:c>
      <x:c r="L11" s="24" t="str">
        <x:v>计算值</x:v>
      </x:c>
      <x:c r="M11" s="24" t="str">
        <x:v>CANDIDATE_DEFINED_NOT_COMPUTED</x:v>
      </x:c>
      <x:c r="N11" s="24" t="n">
        <x:v>1</x:v>
      </x:c>
      <x:c r="O11" s="24" t="n">
        <x:v>1</x:v>
      </x:c>
    </x:row>
    <x:row r="12" ht="62" customHeight="1">
      <x:c r="A12" s="24" t="str">
        <x:v>CV008</x:v>
      </x:c>
      <x:c r="B12" s="24" t="str">
        <x:v>largest_known_round_share</x:v>
      </x:c>
      <x:c r="C12" s="24" t="str">
        <x:v>最大已知轮金额占比</x:v>
      </x:c>
      <x:c r="D12" s="24" t="str">
        <x:v>融资集中度</x:v>
      </x:c>
      <x:c r="E12" s="24" t="str">
        <x:v>B扩展</x:v>
      </x:c>
      <x:c r="F12" s="24" t="str">
        <x:v>公司层</x:v>
      </x:c>
      <x:c r="G12" s="24" t="str">
        <x:v>机制/案例选择变量</x:v>
      </x:c>
      <x:c r="H12" s="24" t="str">
        <x:v>RATIO</x:v>
      </x:c>
      <x:c r="I12" s="24" t="str">
        <x:v>0–1</x:v>
      </x:c>
      <x:c r="J12" s="24" t="str">
        <x:v>最大已知轮金额占公司已知融资轮事件锚点金额合计的比例。</x:v>
      </x:c>
      <x:c r="K12" s="24" t="str">
        <x:v>区分融资高度集中于一轮与较均匀分布于多轮的路径。</x:v>
      </x:c>
      <x:c r="L12" s="24" t="str">
        <x:v>计算值</x:v>
      </x:c>
      <x:c r="M12" s="24" t="str">
        <x:v>CANDIDATE_DEFINED_NOT_COMPUTED</x:v>
      </x:c>
      <x:c r="N12" s="24" t="n">
        <x:v>1</x:v>
      </x:c>
      <x:c r="O12" s="24" t="n">
        <x:v>1</x:v>
      </x:c>
    </x:row>
    <x:row r="13" ht="62" customHeight="1">
      <x:c r="A13" s="24" t="str">
        <x:v>CV009</x:v>
      </x:c>
      <x:c r="B13" s="24" t="str">
        <x:v>financing_span_months</x:v>
      </x:c>
      <x:c r="C13" s="24" t="str">
        <x:v>融资时间跨度</x:v>
      </x:c>
      <x:c r="D13" s="24" t="str">
        <x:v>融资节奏</x:v>
      </x:c>
      <x:c r="E13" s="24" t="str">
        <x:v>A核心</x:v>
      </x:c>
      <x:c r="F13" s="24" t="str">
        <x:v>公司层</x:v>
      </x:c>
      <x:c r="G13" s="24" t="str">
        <x:v>解释/案例选择变量</x:v>
      </x:c>
      <x:c r="H13" s="24" t="str">
        <x:v>CONTINUOUS</x:v>
      </x:c>
      <x:c r="I13" s="24" t="str">
        <x:v>月</x:v>
      </x:c>
      <x:c r="J13" s="24" t="str">
        <x:v>公司最早与最晚可用融资轮标准化年月之间的月份差。</x:v>
      </x:c>
      <x:c r="K13" s="24" t="str">
        <x:v>刻画融资活动是集中发生还是跨越较长时期。</x:v>
      </x:c>
      <x:c r="L13" s="24" t="str">
        <x:v>计算值</x:v>
      </x:c>
      <x:c r="M13" s="24" t="str">
        <x:v>CANDIDATE_DEFINED_NOT_COMPUTED</x:v>
      </x:c>
      <x:c r="N13" s="24" t="n">
        <x:v>1</x:v>
      </x:c>
      <x:c r="O13" s="24" t="n">
        <x:v>1</x:v>
      </x:c>
    </x:row>
    <x:row r="14" ht="62" customHeight="1">
      <x:c r="A14" s="24" t="str">
        <x:v>CV010</x:v>
      </x:c>
      <x:c r="B14" s="24" t="str">
        <x:v>median_financing_interval_months</x:v>
      </x:c>
      <x:c r="C14" s="24" t="str">
        <x:v>融资轮次间隔中位数</x:v>
      </x:c>
      <x:c r="D14" s="24" t="str">
        <x:v>融资节奏</x:v>
      </x:c>
      <x:c r="E14" s="24" t="str">
        <x:v>B扩展</x:v>
      </x:c>
      <x:c r="F14" s="24" t="str">
        <x:v>公司层</x:v>
      </x:c>
      <x:c r="G14" s="24" t="str">
        <x:v>机制/案例选择变量</x:v>
      </x:c>
      <x:c r="H14" s="24" t="str">
        <x:v>CONTINUOUS</x:v>
      </x:c>
      <x:c r="I14" s="24" t="str">
        <x:v>月</x:v>
      </x:c>
      <x:c r="J14" s="24" t="str">
        <x:v>按可用融资轮日期排序后，相邻月份差的中位数。</x:v>
      </x:c>
      <x:c r="K14" s="24" t="str">
        <x:v>描述典型融资节奏，并降低单次极长间隔的影响。</x:v>
      </x:c>
      <x:c r="L14" s="24" t="str">
        <x:v>计算值</x:v>
      </x:c>
      <x:c r="M14" s="24" t="str">
        <x:v>CANDIDATE_DEFINED_NOT_COMPUTED</x:v>
      </x:c>
      <x:c r="N14" s="24" t="n">
        <x:v>1</x:v>
      </x:c>
      <x:c r="O14" s="24" t="n">
        <x:v>1</x:v>
      </x:c>
    </x:row>
    <x:row r="15" ht="62" customHeight="1">
      <x:c r="A15" s="24" t="str">
        <x:v>CV011</x:v>
      </x:c>
      <x:c r="B15" s="24" t="str">
        <x:v>confirmed_pevc_participation_flag</x:v>
      </x:c>
      <x:c r="C15" s="24" t="str">
        <x:v>确认PE/VC参与标记</x:v>
      </x:c>
      <x:c r="D15" s="24" t="str">
        <x:v>PEVC参与</x:v>
      </x:c>
      <x:c r="E15" s="24" t="str">
        <x:v>A核心</x:v>
      </x:c>
      <x:c r="F15" s="24" t="str">
        <x:v>公司层</x:v>
      </x:c>
      <x:c r="G15" s="24" t="str">
        <x:v>分组/解释变量</x:v>
      </x:c>
      <x:c r="H15" s="24" t="str">
        <x:v>BINARY</x:v>
      </x:c>
      <x:c r="I15" s="24" t="str">
        <x:v>0/1</x:v>
      </x:c>
      <x:c r="J15" s="24" t="str">
        <x:v>公司是否至少有1个最终状态为PEVC_CONFIRMED且与公司投资关系可核验的法律主体。</x:v>
      </x:c>
      <x:c r="K15" s="24" t="str">
        <x:v>提供最易解释的PE/VC参与广度指标，适合8家公司初步分组。</x:v>
      </x:c>
      <x:c r="L15" s="24" t="str">
        <x:v>研究判断派生</x:v>
      </x:c>
      <x:c r="M15" s="24" t="str">
        <x:v>CANDIDATE_DEFINED_NOT_COMPUTED</x:v>
      </x:c>
      <x:c r="N15" s="24" t="n">
        <x:v>1</x:v>
      </x:c>
      <x:c r="O15" s="24" t="n">
        <x:v>1</x:v>
      </x:c>
    </x:row>
    <x:row r="16" ht="62" customHeight="1">
      <x:c r="A16" s="24" t="str">
        <x:v>CV012</x:v>
      </x:c>
      <x:c r="B16" s="24" t="str">
        <x:v>confirmed_pevc_legal_entity_count</x:v>
      </x:c>
      <x:c r="C16" s="24" t="str">
        <x:v>确认PE/VC法律主体数</x:v>
      </x:c>
      <x:c r="D16" s="24" t="str">
        <x:v>PEVC参与</x:v>
      </x:c>
      <x:c r="E16" s="24" t="str">
        <x:v>A核心</x:v>
      </x:c>
      <x:c r="F16" s="24" t="str">
        <x:v>公司层</x:v>
      </x:c>
      <x:c r="G16" s="24" t="str">
        <x:v>解释/案例选择变量</x:v>
      </x:c>
      <x:c r="H16" s="24" t="str">
        <x:v>INTEGER</x:v>
      </x:c>
      <x:c r="I16" s="24" t="str">
        <x:v>个</x:v>
      </x:c>
      <x:c r="J16" s="24" t="str">
        <x:v>公司内最终状态为PEVC_CONFIRMED的参与法律主体去重数。</x:v>
      </x:c>
      <x:c r="K16" s="24" t="str">
        <x:v>在是否参与之外衡量PE/VC主体参与的数量强度。</x:v>
      </x:c>
      <x:c r="L16" s="24" t="str">
        <x:v>计算值+研究判断</x:v>
      </x:c>
      <x:c r="M16" s="24" t="str">
        <x:v>CANDIDATE_DEFINED_NOT_COMPUTED</x:v>
      </x:c>
      <x:c r="N16" s="24" t="n">
        <x:v>1</x:v>
      </x:c>
      <x:c r="O16" s="24" t="n">
        <x:v>1</x:v>
      </x:c>
    </x:row>
    <x:row r="17" ht="62" customHeight="1">
      <x:c r="A17" s="24" t="str">
        <x:v>CV013</x:v>
      </x:c>
      <x:c r="B17" s="24" t="str">
        <x:v>confirmed_pevc_share_of_direct_entities</x:v>
      </x:c>
      <x:c r="C17" s="24" t="str">
        <x:v>确认PE/VC占直接主体比重</x:v>
      </x:c>
      <x:c r="D17" s="24" t="str">
        <x:v>PEVC参与</x:v>
      </x:c>
      <x:c r="E17" s="24" t="str">
        <x:v>B扩展</x:v>
      </x:c>
      <x:c r="F17" s="24" t="str">
        <x:v>公司层</x:v>
      </x:c>
      <x:c r="G17" s="24" t="str">
        <x:v>相对解释变量</x:v>
      </x:c>
      <x:c r="H17" s="24" t="str">
        <x:v>RATIO</x:v>
      </x:c>
      <x:c r="I17" s="24" t="str">
        <x:v>0–1</x:v>
      </x:c>
      <x:c r="J17" s="24" t="str">
        <x:v>确认PE/VC法律主体数占直接参与法律主体去重数的比例。</x:v>
      </x:c>
      <x:c r="K17" s="24" t="str">
        <x:v>控制公司参与主体总规模，使PE/VC数量在不同主体密度公司间更可比。</x:v>
      </x:c>
      <x:c r="L17" s="24" t="str">
        <x:v>计算值+研究判断</x:v>
      </x:c>
      <x:c r="M17" s="24" t="str">
        <x:v>CANDIDATE_DEFINED_NOT_COMPUTED</x:v>
      </x:c>
      <x:c r="N17" s="24" t="n">
        <x:v>1</x:v>
      </x:c>
      <x:c r="O17" s="24" t="n">
        <x:v>1</x:v>
      </x:c>
    </x:row>
    <x:row r="18" ht="62" customHeight="1">
      <x:c r="A18" s="24" t="str">
        <x:v>CV014</x:v>
      </x:c>
      <x:c r="B18" s="24" t="str">
        <x:v>confirmed_pevc_financing_round_count</x:v>
      </x:c>
      <x:c r="C18" s="24" t="str">
        <x:v>确认PE/VC参与融资轮数</x:v>
      </x:c>
      <x:c r="D18" s="24" t="str">
        <x:v>PEVC参与深度</x:v>
      </x:c>
      <x:c r="E18" s="24" t="str">
        <x:v>B扩展</x:v>
      </x:c>
      <x:c r="F18" s="24" t="str">
        <x:v>公司层</x:v>
      </x:c>
      <x:c r="G18" s="24" t="str">
        <x:v>机制/解释变量</x:v>
      </x:c>
      <x:c r="H18" s="24" t="str">
        <x:v>INTEGER</x:v>
      </x:c>
      <x:c r="I18" s="24" t="str">
        <x:v>轮</x:v>
      </x:c>
      <x:c r="J18" s="24" t="str">
        <x:v>至少关联1个PEVC_CONFIRMED主体的融资轮事件去重数。</x:v>
      </x:c>
      <x:c r="K18" s="24" t="str">
        <x:v>区分PE/VC偶发进入与跨多轮持续参与。</x:v>
      </x:c>
      <x:c r="L18" s="24" t="str">
        <x:v>研究判断派生</x:v>
      </x:c>
      <x:c r="M18" s="24" t="str">
        <x:v>CANDIDATE_DEFINED_NOT_COMPUTED</x:v>
      </x:c>
      <x:c r="N18" s="24" t="n">
        <x:v>1</x:v>
      </x:c>
      <x:c r="O18" s="24" t="n">
        <x:v>1</x:v>
      </x:c>
    </x:row>
    <x:row r="19" ht="62" customHeight="1">
      <x:c r="A19" s="24" t="str">
        <x:v>CV015</x:v>
      </x:c>
      <x:c r="B19" s="24" t="str">
        <x:v>first_confirmed_pevc_entry_date</x:v>
      </x:c>
      <x:c r="C19" s="24" t="str">
        <x:v>首次确认PE/VC进入日期</x:v>
      </x:c>
      <x:c r="D19" s="24" t="str">
        <x:v>PEVC进入时点</x:v>
      </x:c>
      <x:c r="E19" s="24" t="str">
        <x:v>A核心</x:v>
      </x:c>
      <x:c r="F19" s="24" t="str">
        <x:v>公司层</x:v>
      </x:c>
      <x:c r="G19" s="24" t="str">
        <x:v>历史标记/案例选择变量</x:v>
      </x:c>
      <x:c r="H19" s="24" t="str">
        <x:v>DATE_OR_MONTH</x:v>
      </x:c>
      <x:c r="I19" s="24" t="str">
        <x:v>日期或年月</x:v>
      </x:c>
      <x:c r="J19" s="24" t="str">
        <x:v>公司投资路径中PEVC_CONFIRMED主体最早的可核验进入日期。</x:v>
      </x:c>
      <x:c r="K19" s="24" t="str">
        <x:v>直接回答PE/VC何时首次进入，为后续路径叙事和时点变量提供锚点。</x:v>
      </x:c>
      <x:c r="L19" s="24" t="str">
        <x:v>研究判断派生</x:v>
      </x:c>
      <x:c r="M19" s="24" t="str">
        <x:v>CANDIDATE_DEFINED_NOT_COMPUTED</x:v>
      </x:c>
      <x:c r="N19" s="24" t="n">
        <x:v>1</x:v>
      </x:c>
      <x:c r="O19" s="24" t="n">
        <x:v>1</x:v>
      </x:c>
    </x:row>
    <x:row r="20" ht="62" customHeight="1">
      <x:c r="A20" s="24" t="str">
        <x:v>CV016</x:v>
      </x:c>
      <x:c r="B20" s="24" t="str">
        <x:v>first_confirmed_pevc_entry_year</x:v>
      </x:c>
      <x:c r="C20" s="24" t="str">
        <x:v>首次确认PE/VC进入年份</x:v>
      </x:c>
      <x:c r="D20" s="24" t="str">
        <x:v>PEVC进入时点</x:v>
      </x:c>
      <x:c r="E20" s="24" t="str">
        <x:v>B扩展</x:v>
      </x:c>
      <x:c r="F20" s="24" t="str">
        <x:v>公司层</x:v>
      </x:c>
      <x:c r="G20" s="24" t="str">
        <x:v>时期控制/案例选择变量</x:v>
      </x:c>
      <x:c r="H20" s="24" t="str">
        <x:v>INTEGER</x:v>
      </x:c>
      <x:c r="I20" s="24" t="str">
        <x:v>年</x:v>
      </x:c>
      <x:c r="J20" s="24" t="str">
        <x:v>从首次确认PE/VC进入日期提取年份。</x:v>
      </x:c>
      <x:c r="K20" s="24" t="str">
        <x:v>在不虚构月份或日期的情况下比较不同企业进入所处资本市场时期。</x:v>
      </x:c>
      <x:c r="L20" s="24" t="str">
        <x:v>计算值+研究判断</x:v>
      </x:c>
      <x:c r="M20" s="24" t="str">
        <x:v>CANDIDATE_DEFINED_NOT_COMPUTED</x:v>
      </x:c>
      <x:c r="N20" s="24" t="n">
        <x:v>1</x:v>
      </x:c>
      <x:c r="O20" s="24" t="n">
        <x:v>1</x:v>
      </x:c>
    </x:row>
    <x:row r="21" ht="62" customHeight="1">
      <x:c r="A21" s="24" t="str">
        <x:v>CV017</x:v>
      </x:c>
      <x:c r="B21" s="24" t="str">
        <x:v>first_confirmed_pevc_financing_round_position</x:v>
      </x:c>
      <x:c r="C21" s="24" t="str">
        <x:v>首次确认PE/VC融资轮位置</x:v>
      </x:c>
      <x:c r="D21" s="24" t="str">
        <x:v>PEVC进入时点</x:v>
      </x:c>
      <x:c r="E21" s="24" t="str">
        <x:v>B扩展</x:v>
      </x:c>
      <x:c r="F21" s="24" t="str">
        <x:v>公司层</x:v>
      </x:c>
      <x:c r="G21" s="24" t="str">
        <x:v>相对时点变量</x:v>
      </x:c>
      <x:c r="H21" s="24" t="str">
        <x:v>RATIO</x:v>
      </x:c>
      <x:c r="I21" s="24" t="str">
        <x:v>0–1</x:v>
      </x:c>
      <x:c r="J21" s="24" t="str">
        <x:v>首次有确认PE/VC参与的融资轮序位除以公司融资轮总数。</x:v>
      </x:c>
      <x:c r="K21" s="24" t="str">
        <x:v>把首次进入位置标准化，使融资轮数不同的公司具有可比的相对时点。</x:v>
      </x:c>
      <x:c r="L21" s="24" t="str">
        <x:v>研究判断派生</x:v>
      </x:c>
      <x:c r="M21" s="24" t="str">
        <x:v>CANDIDATE_DEFINED_NOT_COMPUTED</x:v>
      </x:c>
      <x:c r="N21" s="24" t="n">
        <x:v>1</x:v>
      </x:c>
      <x:c r="O21" s="24" t="n">
        <x:v>1</x:v>
      </x:c>
    </x:row>
    <x:row r="22" ht="62" customHeight="1">
      <x:c r="A22" s="24" t="str">
        <x:v>CV018</x:v>
      </x:c>
      <x:c r="B22" s="24" t="str">
        <x:v>indirect_confirmed_pevc_path_flag</x:v>
      </x:c>
      <x:c r="C22" s="24" t="str">
        <x:v>确认PE/VC间接路径标记</x:v>
      </x:c>
      <x:c r="D22" s="24" t="str">
        <x:v>投资路径复杂度</x:v>
      </x:c>
      <x:c r="E22" s="24" t="str">
        <x:v>B扩展</x:v>
      </x:c>
      <x:c r="F22" s="24" t="str">
        <x:v>公司层</x:v>
      </x:c>
      <x:c r="G22" s="24" t="str">
        <x:v>机制/案例选择变量</x:v>
      </x:c>
      <x:c r="H22" s="24" t="str">
        <x:v>BINARY</x:v>
      </x:c>
      <x:c r="I22" s="24" t="str">
        <x:v>0/1</x:v>
      </x:c>
      <x:c r="J22" s="24" t="str">
        <x:v>是否存在与PEVC_CONFIRMED主体相关且direct_indirect=INDIRECT的确认投资路径。</x:v>
      </x:c>
      <x:c r="K22" s="24" t="str">
        <x:v>识别通过持股平台、基金层级或其他间接结构参与的案例。</x:v>
      </x:c>
      <x:c r="L22" s="24" t="str">
        <x:v>研究判断派生</x:v>
      </x:c>
      <x:c r="M22" s="24" t="str">
        <x:v>CANDIDATE_DEFINED_NOT_COMPUTED</x:v>
      </x:c>
      <x:c r="N22" s="24" t="n">
        <x:v>1</x:v>
      </x:c>
      <x:c r="O22" s="24" t="n">
        <x:v>1</x:v>
      </x:c>
    </x:row>
    <x:row r="23" ht="62" customHeight="1">
      <x:c r="A23" s="24" t="str">
        <x:v>CV019</x:v>
      </x:c>
      <x:c r="B23" s="24" t="str">
        <x:v>confirmed_pevc_entry_method_diversity</x:v>
      </x:c>
      <x:c r="C23" s="24" t="str">
        <x:v>确认PE/VC进入方式多样性</x:v>
      </x:c>
      <x:c r="D23" s="24" t="str">
        <x:v>PEVC进入方式</x:v>
      </x:c>
      <x:c r="E23" s="24" t="str">
        <x:v>B扩展</x:v>
      </x:c>
      <x:c r="F23" s="24" t="str">
        <x:v>公司层</x:v>
      </x:c>
      <x:c r="G23" s="24" t="str">
        <x:v>机制/案例选择变量</x:v>
      </x:c>
      <x:c r="H23" s="24" t="str">
        <x:v>INTEGER</x:v>
      </x:c>
      <x:c r="I23" s="24" t="str">
        <x:v>种</x:v>
      </x:c>
      <x:c r="J23" s="24" t="str">
        <x:v>确认PE/VC路径中非空进入方式的去重数，如增资进入、受让进入。</x:v>
      </x:c>
      <x:c r="K23" s="24" t="str">
        <x:v>区分单一进入机制与多种进入机制并存。</x:v>
      </x:c>
      <x:c r="L23" s="24" t="str">
        <x:v>研究判断派生</x:v>
      </x:c>
      <x:c r="M23" s="24" t="str">
        <x:v>CANDIDATE_DEFINED_NOT_COMPUTED</x:v>
      </x:c>
      <x:c r="N23" s="24" t="n">
        <x:v>1</x:v>
      </x:c>
      <x:c r="O23" s="24" t="n">
        <x:v>1</x:v>
      </x:c>
    </x:row>
    <x:row r="24" ht="62" customHeight="1">
      <x:c r="A24" s="24" t="str">
        <x:v>CV020</x:v>
      </x:c>
      <x:c r="B24" s="24" t="str">
        <x:v>unique_direct_legal_entity_count</x:v>
      </x:c>
      <x:c r="C24" s="24" t="str">
        <x:v>直接参与法律主体数</x:v>
      </x:c>
      <x:c r="D24" s="24" t="str">
        <x:v>参与结构规模</x:v>
      </x:c>
      <x:c r="E24" s="24" t="str">
        <x:v>A核心</x:v>
      </x:c>
      <x:c r="F24" s="24" t="str">
        <x:v>公司层</x:v>
      </x:c>
      <x:c r="G24" s="24" t="str">
        <x:v>解释/案例选择变量</x:v>
      </x:c>
      <x:c r="H24" s="24" t="str">
        <x:v>INTEGER</x:v>
      </x:c>
      <x:c r="I24" s="24" t="str">
        <x:v>个</x:v>
      </x:c>
      <x:c r="J24" s="24" t="str">
        <x:v>公司级直接参与法律主体按稳定主体键去重后的数量。</x:v>
      </x:c>
      <x:c r="K24" s="24" t="str">
        <x:v>刻画上市前股权参与结构的规模，为PE/VC计数提供分母。</x:v>
      </x:c>
      <x:c r="L24" s="24" t="str">
        <x:v>计算值</x:v>
      </x:c>
      <x:c r="M24" s="24" t="str">
        <x:v>CANDIDATE_DEFINED_NOT_COMPUTED</x:v>
      </x:c>
      <x:c r="N24" s="24" t="n">
        <x:v>1</x:v>
      </x:c>
      <x:c r="O24" s="24" t="n">
        <x:v>1</x:v>
      </x:c>
    </x:row>
    <x:row r="25" ht="62" customHeight="1">
      <x:c r="A25" s="24" t="str">
        <x:v>CV021</x:v>
      </x:c>
      <x:c r="B25" s="24" t="str">
        <x:v>financing_investor_legal_entity_count</x:v>
      </x:c>
      <x:c r="C25" s="24" t="str">
        <x:v>融资投资方法律主体数</x:v>
      </x:c>
      <x:c r="D25" s="24" t="str">
        <x:v>融资参与广度</x:v>
      </x:c>
      <x:c r="E25" s="24" t="str">
        <x:v>B扩展</x:v>
      </x:c>
      <x:c r="F25" s="24" t="str">
        <x:v>公司层</x:v>
      </x:c>
      <x:c r="G25" s="24" t="str">
        <x:v>解释/案例选择变量</x:v>
      </x:c>
      <x:c r="H25" s="24" t="str">
        <x:v>INTEGER</x:v>
      </x:c>
      <x:c r="I25" s="24" t="str">
        <x:v>个</x:v>
      </x:c>
      <x:c r="J25" s="24" t="str">
        <x:v>参与融资轮相关交易且角色为INVESTOR的法律主体去重数。</x:v>
      </x:c>
      <x:c r="K25" s="24" t="str">
        <x:v>比全部直接主体更贴近直接股权融资活动本身。</x:v>
      </x:c>
      <x:c r="L25" s="24" t="str">
        <x:v>计算值</x:v>
      </x:c>
      <x:c r="M25" s="24" t="str">
        <x:v>CANDIDATE_DEFINED_NOT_COMPUTED</x:v>
      </x:c>
      <x:c r="N25" s="24" t="n">
        <x:v>1</x:v>
      </x:c>
      <x:c r="O25" s="24" t="n">
        <x:v>1</x:v>
      </x:c>
    </x:row>
    <x:row r="26" ht="62" customHeight="1">
      <x:c r="A26" s="24" t="str">
        <x:v>CV022</x:v>
      </x:c>
      <x:c r="B26" s="24" t="str">
        <x:v>financing_investors_per_round</x:v>
      </x:c>
      <x:c r="C26" s="24" t="str">
        <x:v>每轮融资投资方密度</x:v>
      </x:c>
      <x:c r="D26" s="24" t="str">
        <x:v>融资参与密度</x:v>
      </x:c>
      <x:c r="E26" s="24" t="str">
        <x:v>B扩展</x:v>
      </x:c>
      <x:c r="F26" s="24" t="str">
        <x:v>公司层</x:v>
      </x:c>
      <x:c r="G26" s="24" t="str">
        <x:v>相对解释变量</x:v>
      </x:c>
      <x:c r="H26" s="24" t="str">
        <x:v>RATIO</x:v>
      </x:c>
      <x:c r="I26" s="24" t="str">
        <x:v>个/轮</x:v>
      </x:c>
      <x:c r="J26" s="24" t="str">
        <x:v>融资投资方法律主体数除以上市前直接股权融资轮数。</x:v>
      </x:c>
      <x:c r="K26" s="24" t="str">
        <x:v>把投资方广度相对于融资频度标准化。</x:v>
      </x:c>
      <x:c r="L26" s="24" t="str">
        <x:v>计算值</x:v>
      </x:c>
      <x:c r="M26" s="24" t="str">
        <x:v>CANDIDATE_DEFINED_NOT_COMPUTED</x:v>
      </x:c>
      <x:c r="N26" s="24" t="n">
        <x:v>1</x:v>
      </x:c>
      <x:c r="O26" s="24" t="n">
        <x:v>1</x:v>
      </x:c>
    </x:row>
    <x:row r="27" ht="62" customHeight="1">
      <x:c r="A27" s="24" t="str">
        <x:v>CV023</x:v>
      </x:c>
      <x:c r="B27" s="24" t="str">
        <x:v>financing_method_diversity</x:v>
      </x:c>
      <x:c r="C27" s="24" t="str">
        <x:v>融资方式多样性</x:v>
      </x:c>
      <x:c r="D27" s="24" t="str">
        <x:v>融资机制</x:v>
      </x:c>
      <x:c r="E27" s="24" t="str">
        <x:v>B扩展</x:v>
      </x:c>
      <x:c r="F27" s="24" t="str">
        <x:v>公司层</x:v>
      </x:c>
      <x:c r="G27" s="24" t="str">
        <x:v>机制/案例选择变量</x:v>
      </x:c>
      <x:c r="H27" s="24" t="str">
        <x:v>INTEGER</x:v>
      </x:c>
      <x:c r="I27" s="24" t="str">
        <x:v>种</x:v>
      </x:c>
      <x:c r="J27" s="24" t="str">
        <x:v>融资交易组成中CAPITAL_INCREASE与DIRECTIONAL_ISSUANCE等标准化方式的去重数。</x:v>
      </x:c>
      <x:c r="K27" s="24" t="str">
        <x:v>识别企业是否采用单一或多种直接股权融资机制。</x:v>
      </x:c>
      <x:c r="L27" s="24" t="str">
        <x:v>计算值</x:v>
      </x:c>
      <x:c r="M27" s="24" t="str">
        <x:v>CANDIDATE_DEFINED_NOT_COMPUTED</x:v>
      </x:c>
      <x:c r="N27" s="24" t="n">
        <x:v>1</x:v>
      </x:c>
      <x:c r="O27" s="24" t="n">
        <x:v>1</x:v>
      </x:c>
    </x:row>
    <x:row r="28" ht="62" customHeight="1">
      <x:c r="A28" s="24" t="str">
        <x:v>CV024</x:v>
      </x:c>
      <x:c r="B28" s="24" t="str">
        <x:v>equity_transfer_transaction_count</x:v>
      </x:c>
      <x:c r="C28" s="24" t="str">
        <x:v>股权转让交易数</x:v>
      </x:c>
      <x:c r="D28" s="24" t="str">
        <x:v>二级股权流动</x:v>
      </x:c>
      <x:c r="E28" s="24" t="str">
        <x:v>A核心</x:v>
      </x:c>
      <x:c r="F28" s="24" t="str">
        <x:v>公司层</x:v>
      </x:c>
      <x:c r="G28" s="24" t="str">
        <x:v>解释/案例选择变量</x:v>
      </x:c>
      <x:c r="H28" s="24" t="str">
        <x:v>INTEGER</x:v>
      </x:c>
      <x:c r="I28" s="24" t="str">
        <x:v>笔</x:v>
      </x:c>
      <x:c r="J28" s="24" t="str">
        <x:v>transaction_type_standardized=EQUITY_TRANSFER的公司内交易记录数。</x:v>
      </x:c>
      <x:c r="K28" s="24" t="str">
        <x:v>刻画上市前存量股权流动频度，与发行人直接融资轮次严格分开。</x:v>
      </x:c>
      <x:c r="L28" s="24" t="str">
        <x:v>计算值</x:v>
      </x:c>
      <x:c r="M28" s="24" t="str">
        <x:v>CANDIDATE_DEFINED_NOT_COMPUTED</x:v>
      </x:c>
      <x:c r="N28" s="24" t="n">
        <x:v>1</x:v>
      </x:c>
      <x:c r="O28" s="24" t="n">
        <x:v>1</x:v>
      </x:c>
    </x:row>
    <x:row r="29" ht="62" customHeight="1">
      <x:c r="A29" s="24" t="str">
        <x:v>CV025</x:v>
      </x:c>
      <x:c r="B29" s="24" t="str">
        <x:v>equity_transfer_amount_lower_bound_10k_cny</x:v>
      </x:c>
      <x:c r="C29" s="24" t="str">
        <x:v>可核验股权转让对价下限</x:v>
      </x:c>
      <x:c r="D29" s="24" t="str">
        <x:v>二级股权流动</x:v>
      </x:c>
      <x:c r="E29" s="24" t="str">
        <x:v>A核心</x:v>
      </x:c>
      <x:c r="F29" s="24" t="str">
        <x:v>公司层</x:v>
      </x:c>
      <x:c r="G29" s="24" t="str">
        <x:v>解释/案例选择变量</x:v>
      </x:c>
      <x:c r="H29" s="24" t="str">
        <x:v>CONTINUOUS</x:v>
      </x:c>
      <x:c r="I29" s="24" t="str">
        <x:v>万元人民币</x:v>
      </x:c>
      <x:c r="J29" s="24" t="str">
        <x:v>存量股权转让对价的可核验公司级下限。</x:v>
      </x:c>
      <x:c r="K29" s="24" t="str">
        <x:v>在转让频度之外衡量可核验的二级股权交易规模。</x:v>
      </x:c>
      <x:c r="L29" s="24" t="str">
        <x:v>标准化值+计算值</x:v>
      </x:c>
      <x:c r="M29" s="24" t="str">
        <x:v>CANDIDATE_DEFINED_NOT_COMPUTED</x:v>
      </x:c>
      <x:c r="N29" s="24" t="n">
        <x:v>1</x:v>
      </x:c>
      <x:c r="O29" s="24" t="n">
        <x:v>1</x:v>
      </x:c>
    </x:row>
    <x:row r="30" ht="62" customHeight="1">
      <x:c r="A30" s="24" t="str">
        <x:v>CV026</x:v>
      </x:c>
      <x:c r="B30" s="24" t="str">
        <x:v>secondary_to_primary_amount_ratio</x:v>
      </x:c>
      <x:c r="C30" s="24" t="str">
        <x:v>转让对价与融资金额比</x:v>
      </x:c>
      <x:c r="D30" s="24" t="str">
        <x:v>二级股权流动</x:v>
      </x:c>
      <x:c r="E30" s="24" t="str">
        <x:v>B扩展</x:v>
      </x:c>
      <x:c r="F30" s="24" t="str">
        <x:v>公司层</x:v>
      </x:c>
      <x:c r="G30" s="24" t="str">
        <x:v>相对解释/案例选择变量</x:v>
      </x:c>
      <x:c r="H30" s="24" t="str">
        <x:v>RATIO</x:v>
      </x:c>
      <x:c r="I30" s="24" t="str">
        <x:v>0–∞</x:v>
      </x:c>
      <x:c r="J30" s="24" t="str">
        <x:v>可核验股权转让对价下限除以可核验直接股权融资金额下限。</x:v>
      </x:c>
      <x:c r="K30" s="24" t="str">
        <x:v>用于描述二级股权交易相对于发行人融资的可核验规模，而不是把两类资金流相加。</x:v>
      </x:c>
      <x:c r="L30" s="24" t="str">
        <x:v>计算值</x:v>
      </x:c>
      <x:c r="M30" s="24" t="str">
        <x:v>CANDIDATE_DEFINED_NOT_COMPUTED</x:v>
      </x:c>
      <x:c r="N30" s="24" t="n">
        <x:v>1</x:v>
      </x:c>
      <x:c r="O30" s="24" t="n">
        <x:v>1</x:v>
      </x:c>
    </x:row>
    <x:row r="31" ht="62" customHeight="1">
      <x:c r="A31" s="24" t="str">
        <x:v>CV027</x:v>
      </x:c>
      <x:c r="B31" s="24" t="str">
        <x:v>known_financing_round_amount_count</x:v>
      </x:c>
      <x:c r="C31" s="24" t="str">
        <x:v>金额已知融资轮数</x:v>
      </x:c>
      <x:c r="D31" s="24" t="str">
        <x:v>数据可用性</x:v>
      </x:c>
      <x:c r="E31" s="24" t="str">
        <x:v>Q质量</x:v>
      </x:c>
      <x:c r="F31" s="24" t="str">
        <x:v>公司层</x:v>
      </x:c>
      <x:c r="G31" s="24" t="str">
        <x:v>质量控制变量</x:v>
      </x:c>
      <x:c r="H31" s="24" t="str">
        <x:v>INTEGER</x:v>
      </x:c>
      <x:c r="I31" s="24" t="str">
        <x:v>轮</x:v>
      </x:c>
      <x:c r="J31" s="24" t="str">
        <x:v>融资轮事件中financing_amount_10k_cny非null的轮次数。</x:v>
      </x:c>
      <x:c r="K31" s="24" t="str">
        <x:v>明确公司单轮金额统计由多少轮支撑，防止把少量已知轮次当成完整历史。</x:v>
      </x:c>
      <x:c r="L31" s="24" t="str">
        <x:v>计算值</x:v>
      </x:c>
      <x:c r="M31" s="24" t="str">
        <x:v>CANDIDATE_DEFINED_NOT_COMPUTED</x:v>
      </x:c>
      <x:c r="N31" s="24" t="n">
        <x:v>1</x:v>
      </x:c>
      <x:c r="O31" s="24" t="n">
        <x:v>1</x:v>
      </x:c>
    </x:row>
    <x:row r="32" ht="62" customHeight="1">
      <x:c r="A32" s="24" t="str">
        <x:v>CV028</x:v>
      </x:c>
      <x:c r="B32" s="24" t="str">
        <x:v>financing_round_amount_coverage_rate</x:v>
      </x:c>
      <x:c r="C32" s="24" t="str">
        <x:v>融资轮金额覆盖率</x:v>
      </x:c>
      <x:c r="D32" s="24" t="str">
        <x:v>数据可用性</x:v>
      </x:c>
      <x:c r="E32" s="24" t="str">
        <x:v>Q质量</x:v>
      </x:c>
      <x:c r="F32" s="24" t="str">
        <x:v>公司层</x:v>
      </x:c>
      <x:c r="G32" s="24" t="str">
        <x:v>质量控制/解释门槛</x:v>
      </x:c>
      <x:c r="H32" s="24" t="str">
        <x:v>RATIO</x:v>
      </x:c>
      <x:c r="I32" s="24" t="str">
        <x:v>0–1</x:v>
      </x:c>
      <x:c r="J32" s="24" t="str">
        <x:v>金额已知融资轮数占公司融资轮总数的比例。</x:v>
      </x:c>
      <x:c r="K32" s="24" t="str">
        <x:v>为均值、中位数、峰值和集中度提供共同的解释门槛。</x:v>
      </x:c>
      <x:c r="L32" s="24" t="str">
        <x:v>计算值</x:v>
      </x:c>
      <x:c r="M32" s="24" t="str">
        <x:v>CANDIDATE_DEFINED_NOT_COMPUTED</x:v>
      </x:c>
      <x:c r="N32" s="24" t="n">
        <x:v>1</x:v>
      </x:c>
      <x:c r="O32" s="24" t="n">
        <x:v>1</x:v>
      </x:c>
    </x:row>
    <x:row r="33" ht="62" customHeight="1">
      <x:c r="A33" s="24" t="str">
        <x:v>CV029</x:v>
      </x:c>
      <x:c r="B33" s="24" t="str">
        <x:v>financing_round_date_coverage_rate</x:v>
      </x:c>
      <x:c r="C33" s="24" t="str">
        <x:v>融资轮日期覆盖率</x:v>
      </x:c>
      <x:c r="D33" s="24" t="str">
        <x:v>数据可用性</x:v>
      </x:c>
      <x:c r="E33" s="24" t="str">
        <x:v>Q质量</x:v>
      </x:c>
      <x:c r="F33" s="24" t="str">
        <x:v>公司层</x:v>
      </x:c>
      <x:c r="G33" s="24" t="str">
        <x:v>质量控制/解释门槛</x:v>
      </x:c>
      <x:c r="H33" s="24" t="str">
        <x:v>RATIO</x:v>
      </x:c>
      <x:c r="I33" s="24" t="str">
        <x:v>0–1</x:v>
      </x:c>
      <x:c r="J33" s="24" t="str">
        <x:v>具有DAY或MONTH精度标准化日期的融资轮数占融资轮总数。</x:v>
      </x:c>
      <x:c r="K33" s="24" t="str">
        <x:v>判断融资跨度、间隔和首次进入时点是否有足够日期基础。</x:v>
      </x:c>
      <x:c r="L33" s="24" t="str">
        <x:v>计算值</x:v>
      </x:c>
      <x:c r="M33" s="24" t="str">
        <x:v>CANDIDATE_DEFINED_NOT_COMPUTED</x:v>
      </x:c>
      <x:c r="N33" s="24" t="n">
        <x:v>1</x:v>
      </x:c>
      <x:c r="O33" s="24" t="n">
        <x:v>1</x:v>
      </x:c>
    </x:row>
    <x:row r="34" ht="62" customHeight="1">
      <x:c r="A34" s="24" t="str">
        <x:v>CV030</x:v>
      </x:c>
      <x:c r="B34" s="24" t="str">
        <x:v>calculated_round_amount_share</x:v>
      </x:c>
      <x:c r="C34" s="24" t="str">
        <x:v>计算型轮次金额占比</x:v>
      </x:c>
      <x:c r="D34" s="24" t="str">
        <x:v>数值来源结构</x:v>
      </x:c>
      <x:c r="E34" s="24" t="str">
        <x:v>Q质量</x:v>
      </x:c>
      <x:c r="F34" s="24" t="str">
        <x:v>公司层</x:v>
      </x:c>
      <x:c r="G34" s="24" t="str">
        <x:v>质量控制变量</x:v>
      </x:c>
      <x:c r="H34" s="24" t="str">
        <x:v>RATIO</x:v>
      </x:c>
      <x:c r="I34" s="24" t="str">
        <x:v>0–1</x:v>
      </x:c>
      <x:c r="J34" s="24" t="str">
        <x:v>已知金额融资轮中amount_source_type=CALCULATED的轮次占比。</x:v>
      </x:c>
      <x:c r="K34" s="24" t="str">
        <x:v>区分直接披露金额与由股份数、价格等明确推算的金额，避免把来源层混同。</x:v>
      </x:c>
      <x:c r="L34" s="24" t="str">
        <x:v>计算值</x:v>
      </x:c>
      <x:c r="M34" s="24" t="str">
        <x:v>CANDIDATE_DEFINED_NOT_COMPUTED</x:v>
      </x:c>
      <x:c r="N34" s="24" t="n">
        <x:v>1</x:v>
      </x:c>
      <x:c r="O34" s="24" t="n">
        <x:v>1</x:v>
      </x:c>
    </x:row>
    <x:row r="35" ht="62" customHeight="1">
      <x:c r="A35" s="24" t="str">
        <x:v>CV031</x:v>
      </x:c>
      <x:c r="B35" s="24" t="str">
        <x:v>evidence_records_per_financing_round</x:v>
      </x:c>
      <x:c r="C35" s="24" t="str">
        <x:v>每轮融资证据记录数</x:v>
      </x:c>
      <x:c r="D35" s="24" t="str">
        <x:v>证据密度</x:v>
      </x:c>
      <x:c r="E35" s="24" t="str">
        <x:v>Q质量</x:v>
      </x:c>
      <x:c r="F35" s="24" t="str">
        <x:v>公司层</x:v>
      </x:c>
      <x:c r="G35" s="24" t="str">
        <x:v>质量控制变量</x:v>
      </x:c>
      <x:c r="H35" s="24" t="str">
        <x:v>RATIO</x:v>
      </x:c>
      <x:c r="I35" s="24" t="str">
        <x:v>条/轮</x:v>
      </x:c>
      <x:c r="J35" s="24" t="str">
        <x:v>与融资轮事件直接关联的去重证据记录数除以融资轮数。</x:v>
      </x:c>
      <x:c r="K35" s="24" t="str">
        <x:v>描述结构化证据支撑密度，并用于发现证据链接薄弱的公司。</x:v>
      </x:c>
      <x:c r="L35" s="24" t="str">
        <x:v>计算值</x:v>
      </x:c>
      <x:c r="M35" s="24" t="str">
        <x:v>CANDIDATE_DEFINED_NOT_COMPUTED</x:v>
      </x:c>
      <x:c r="N35" s="24" t="n">
        <x:v>1</x:v>
      </x:c>
      <x:c r="O35" s="24" t="n">
        <x:v>1</x:v>
      </x:c>
    </x:row>
    <x:row r="36" ht="62" customHeight="1">
      <x:c r="A36" s="25" t="str">
        <x:v>CV032</x:v>
      </x:c>
      <x:c r="B36" s="25" t="str">
        <x:v>disclosure_limitation_flag</x:v>
      </x:c>
      <x:c r="C36" s="25" t="str">
        <x:v>公司级披露限制标记</x:v>
      </x:c>
      <x:c r="D36" s="25" t="str">
        <x:v>披露边界</x:v>
      </x:c>
      <x:c r="E36" s="25" t="str">
        <x:v>Q质量</x:v>
      </x:c>
      <x:c r="F36" s="25" t="str">
        <x:v>公司层</x:v>
      </x:c>
      <x:c r="G36" s="25" t="str">
        <x:v>质量控制/分层变量</x:v>
      </x:c>
      <x:c r="H36" s="25" t="str">
        <x:v>BINARY</x:v>
      </x:c>
      <x:c r="I36" s="25" t="str">
        <x:v>0/1</x:v>
      </x:c>
      <x:c r="J36" s="25" t="str">
        <x:v>公司层是否存在非空且经最终复核的disclosure_limitation说明。</x:v>
      </x:c>
      <x:c r="K36" s="25" t="str">
        <x:v>把无法完全重建的披露边界显式带入后续比较，避免遗漏限制说明。</x:v>
      </x:c>
      <x:c r="L36" s="25" t="str">
        <x:v>研究判断派生</x:v>
      </x:c>
      <x:c r="M36" s="25" t="str">
        <x:v>CANDIDATE_DEFINED_NOT_COMPUTED</x:v>
      </x:c>
      <x:c r="N36" s="25" t="n">
        <x:v>1</x:v>
      </x:c>
      <x:c r="O36" s="25" t="n">
        <x:v>1</x:v>
      </x:c>
    </x:row>
  </x:sheetData>
  <x:mergeCells>
    <x:mergeCell ref="A1:O1"/>
    <x:mergeCell ref="A2:O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24" hidden="0" customWidth="1"/>
    <x:col min="4" max="4" width="16" hidden="0" customWidth="1"/>
    <x:col min="5" max="5" width="16" hidden="0" customWidth="1"/>
    <x:col min="6" max="6" width="18" hidden="0" customWidth="1"/>
    <x:col min="7" max="7" width="18" hidden="0" customWidth="1"/>
    <x:col min="8" max="8" width="18" hidden="0" customWidth="1"/>
    <x:col min="9" max="9" width="18" hidden="0" customWidth="1"/>
    <x:col min="10" max="10" width="18" hidden="0" customWidth="1"/>
    <x:col min="11" max="11" width="22" hidden="0" customWidth="1"/>
    <x:col min="12" max="12" width="22" hidden="0" customWidth="1"/>
    <x:col min="13" max="13" width="24" hidden="0" customWidth="1"/>
    <x:col min="14" max="14" width="24" hidden="0" customWidth="1"/>
    <x:col min="15" max="15" width="42" hidden="0" customWidth="1"/>
    <x:col min="16" max="16" width="34" hidden="0" customWidth="1"/>
  </x:cols>
  <x:sheetData>
    <x:row r="1" ht="32" customHeight="1">
      <x:c r="A1" s="34" t="str">
        <x:v>变量可计算性与缺失冻结清单</x:v>
      </x:c>
      <x:c r="B1" s="34"/>
      <x:c r="C1" s="34"/>
      <x:c r="D1" s="34"/>
      <x:c r="E1" s="34"/>
      <x:c r="F1" s="34"/>
      <x:c r="G1" s="34"/>
      <x:c r="H1" s="34"/>
      <x:c r="I1" s="34"/>
      <x:c r="J1" s="34"/>
      <x:c r="K1" s="34"/>
      <x:c r="L1" s="34"/>
      <x:c r="M1" s="34"/>
      <x:c r="N1" s="34"/>
      <x:c r="O1" s="34"/>
      <x:c r="P1" s="34"/>
    </x:row>
    <x:row r="2" ht="38" customHeight="1">
      <x:c r="A2" s="35" t="str">
        <x:v>最终状态来源于Stage4C；保留VALID、STRUCTURAL_NA、NOT_COMPUTABLE的语义差异。</x:v>
      </x:c>
      <x:c r="B2" s="35"/>
      <x:c r="C2" s="35"/>
      <x:c r="D2" s="35"/>
      <x:c r="E2" s="35"/>
      <x:c r="F2" s="35"/>
      <x:c r="G2" s="35"/>
      <x:c r="H2" s="35"/>
      <x:c r="I2" s="35"/>
      <x:c r="J2" s="35"/>
      <x:c r="K2" s="35"/>
      <x:c r="L2" s="35"/>
      <x:c r="M2" s="35"/>
      <x:c r="N2" s="35"/>
      <x:c r="O2" s="35"/>
      <x:c r="P2" s="35"/>
    </x:row>
    <x:row r="3">
      <x:c r="A3" s="36"/>
      <x:c r="B3" s="36"/>
      <x:c r="C3" s="36"/>
      <x:c r="D3" s="36"/>
      <x:c r="E3" s="36"/>
      <x:c r="F3" s="36"/>
      <x:c r="G3" s="36"/>
      <x:c r="H3" s="36"/>
      <x:c r="I3" s="36"/>
      <x:c r="J3" s="36"/>
      <x:c r="K3" s="36"/>
      <x:c r="L3" s="36"/>
      <x:c r="M3" s="36"/>
      <x:c r="N3" s="36"/>
      <x:c r="O3" s="36"/>
      <x:c r="P3" s="36"/>
    </x:row>
    <x:row r="4" ht="38" customHeight="1">
      <x:c r="A4" s="38" t="str">
        <x:v>变量ID</x:v>
      </x:c>
      <x:c r="B4" s="38" t="str">
        <x:v>变量名称</x:v>
      </x:c>
      <x:c r="C4" s="38" t="str">
        <x:v>优先级</x:v>
      </x:c>
      <x:c r="D4" s="38" t="str">
        <x:v>构念</x:v>
      </x:c>
      <x:c r="E4" s="38" t="str">
        <x:v>总N</x:v>
      </x:c>
      <x:c r="F4" s="38" t="str">
        <x:v>有效N</x:v>
      </x:c>
      <x:c r="G4" s="38" t="str">
        <x:v>结构NA N</x:v>
      </x:c>
      <x:c r="H4" s="38" t="str">
        <x:v>缺失N</x:v>
      </x:c>
      <x:c r="I4" s="38" t="str">
        <x:v>适用N</x:v>
      </x:c>
      <x:c r="J4" s="38" t="str">
        <x:v>全样本覆盖率</x:v>
      </x:c>
      <x:c r="K4" s="38" t="str">
        <x:v>条件可计算率</x:v>
      </x:c>
      <x:c r="L4" s="38" t="str">
        <x:v>显式0 N</x:v>
      </x:c>
      <x:c r="M4" s="38" t="str">
        <x:v>警告N</x:v>
      </x:c>
      <x:c r="N4" s="38" t="str">
        <x:v>最终建议</x:v>
      </x:c>
      <x:c r="O4" s="38" t="str">
        <x:v>建议理由</x:v>
      </x:c>
      <x:c r="P4" s="38" t="str">
        <x:v>冻结状态</x:v>
      </x:c>
    </x:row>
    <x:row r="5" ht="48" customHeight="1">
      <x:c r="A5" s="24" t="str">
        <x:v>CV001</x:v>
      </x:c>
      <x:c r="B5" s="24" t="str">
        <x:v>上市前直接股权融资发生标记</x:v>
      </x:c>
      <x:c r="C5" s="24" t="str">
        <x:v>A核心</x:v>
      </x:c>
      <x:c r="D5" s="24" t="str">
        <x:v>融资经历</x:v>
      </x:c>
      <x:c r="E5" s="24" t="n">
        <x:v>8</x:v>
      </x:c>
      <x:c r="F5" s="24" t="n">
        <x:v>8</x:v>
      </x:c>
      <x:c r="G5" s="24" t="n">
        <x:v>0</x:v>
      </x:c>
      <x:c r="H5" s="24" t="n">
        <x:v>0</x:v>
      </x:c>
      <x:c r="I5" s="24" t="n">
        <x:v>8</x:v>
      </x:c>
      <x:c r="J5" s="24" t="n">
        <x:v>1</x:v>
      </x:c>
      <x:c r="K5" s="24" t="n">
        <x:v>1</x:v>
      </x:c>
      <x:c r="L5" s="24" t="n">
        <x:v>1</x:v>
      </x:c>
      <x:c r="M5" s="24" t="n">
        <x:v>1</x:v>
      </x:c>
      <x:c r="N5" s="24" t="str">
        <x:v>保留（附条件）</x:v>
      </x:c>
      <x:c r="O5" s="24" t="str">
        <x:v>影石创新的0仅代表冻结口径内未识别融资轮，需同时报告历史不可重建限制。</x:v>
      </x:c>
      <x:c r="P5" s="24" t="str">
        <x:v>FROZEN_STAGE4C</x:v>
      </x:c>
    </x:row>
    <x:row r="6" ht="48" customHeight="1">
      <x:c r="A6" s="24" t="str">
        <x:v>CV002</x:v>
      </x:c>
      <x:c r="B6" s="24" t="str">
        <x:v>上市前直接股权融资轮数</x:v>
      </x:c>
      <x:c r="C6" s="24" t="str">
        <x:v>A核心</x:v>
      </x:c>
      <x:c r="D6" s="24" t="str">
        <x:v>融资频度</x:v>
      </x:c>
      <x:c r="E6" s="24" t="n">
        <x:v>8</x:v>
      </x:c>
      <x:c r="F6" s="24" t="n">
        <x:v>8</x:v>
      </x:c>
      <x:c r="G6" s="24" t="n">
        <x:v>0</x:v>
      </x:c>
      <x:c r="H6" s="24" t="n">
        <x:v>0</x:v>
      </x:c>
      <x:c r="I6" s="24" t="n">
        <x:v>8</x:v>
      </x:c>
      <x:c r="J6" s="24" t="n">
        <x:v>1</x:v>
      </x:c>
      <x:c r="K6" s="24" t="n">
        <x:v>1</x:v>
      </x:c>
      <x:c r="L6" s="24" t="n">
        <x:v>1</x:v>
      </x:c>
      <x:c r="M6" s="24" t="n">
        <x:v>1</x:v>
      </x:c>
      <x:c r="N6" s="24" t="str">
        <x:v>保留（附条件）</x:v>
      </x:c>
      <x:c r="O6" s="24" t="str">
        <x:v>轮次可全样本计算，但0轮不等于完整历史从未融资。</x:v>
      </x:c>
      <x:c r="P6" s="24" t="str">
        <x:v>FROZEN_STAGE4C</x:v>
      </x:c>
    </x:row>
    <x:row r="7" ht="48" customHeight="1">
      <x:c r="A7" s="24" t="str">
        <x:v>CV003</x:v>
      </x:c>
      <x:c r="B7" s="24" t="str">
        <x:v>可核验融资金额下限</x:v>
      </x:c>
      <x:c r="C7" s="24" t="str">
        <x:v>A核心</x:v>
      </x:c>
      <x:c r="D7" s="24" t="str">
        <x:v>融资规模</x:v>
      </x:c>
      <x:c r="E7" s="24" t="n">
        <x:v>8</x:v>
      </x:c>
      <x:c r="F7" s="24" t="n">
        <x:v>7</x:v>
      </x:c>
      <x:c r="G7" s="24" t="n">
        <x:v>0</x:v>
      </x:c>
      <x:c r="H7" s="24" t="n">
        <x:v>1</x:v>
      </x:c>
      <x:c r="I7" s="24" t="n">
        <x:v>8</x:v>
      </x:c>
      <x:c r="J7" s="24" t="n">
        <x:v>0.875</x:v>
      </x:c>
      <x:c r="K7" s="24" t="n">
        <x:v>0.875</x:v>
      </x:c>
      <x:c r="L7" s="24" t="n">
        <x:v>0</x:v>
      </x:c>
      <x:c r="M7" s="24" t="n">
        <x:v>0</x:v>
      </x:c>
      <x:c r="N7" s="24" t="str">
        <x:v>保留（附条件）</x:v>
      </x:c>
      <x:c r="O7" s="24" t="str">
        <x:v>7/8家公司有值，必须联用融资金额状态。</x:v>
      </x:c>
      <x:c r="P7" s="24" t="str">
        <x:v>FROZEN_STAGE4C</x:v>
      </x:c>
    </x:row>
    <x:row r="8" ht="48" customHeight="1">
      <x:c r="A8" s="24" t="str">
        <x:v>CV004</x:v>
      </x:c>
      <x:c r="B8" s="24" t="str">
        <x:v>融资金额下限对数</x:v>
      </x:c>
      <x:c r="C8" s="24" t="str">
        <x:v>B扩展</x:v>
      </x:c>
      <x:c r="D8" s="24" t="str">
        <x:v>融资规模</x:v>
      </x:c>
      <x:c r="E8" s="24" t="n">
        <x:v>8</x:v>
      </x:c>
      <x:c r="F8" s="24" t="n">
        <x:v>7</x:v>
      </x:c>
      <x:c r="G8" s="24" t="n">
        <x:v>0</x:v>
      </x:c>
      <x:c r="H8" s="24" t="n">
        <x:v>1</x:v>
      </x:c>
      <x:c r="I8" s="24" t="n">
        <x:v>8</x:v>
      </x:c>
      <x:c r="J8" s="24" t="n">
        <x:v>0.875</x:v>
      </x:c>
      <x:c r="K8" s="24" t="n">
        <x:v>0.875</x:v>
      </x:c>
      <x:c r="L8" s="24" t="n">
        <x:v>0</x:v>
      </x:c>
      <x:c r="M8" s="24" t="n">
        <x:v>0</x:v>
      </x:c>
      <x:c r="N8" s="24" t="str">
        <x:v>保留（附条件）</x:v>
      </x:c>
      <x:c r="O8" s="24" t="str">
        <x:v>作为CV003的替代变换，不与原始金额同时堆叠。</x:v>
      </x:c>
      <x:c r="P8" s="24" t="str">
        <x:v>FROZEN_STAGE4C</x:v>
      </x:c>
    </x:row>
    <x:row r="9" ht="48" customHeight="1">
      <x:c r="A9" s="24" t="str">
        <x:v>CV005</x:v>
      </x:c>
      <x:c r="B9" s="24" t="str">
        <x:v>已知金额轮次均值</x:v>
      </x:c>
      <x:c r="C9" s="24" t="str">
        <x:v>A核心</x:v>
      </x:c>
      <x:c r="D9" s="24" t="str">
        <x:v>单轮融资规模</x:v>
      </x:c>
      <x:c r="E9" s="24" t="n">
        <x:v>8</x:v>
      </x:c>
      <x:c r="F9" s="24" t="n">
        <x:v>7</x:v>
      </x:c>
      <x:c r="G9" s="24" t="n">
        <x:v>1</x:v>
      </x:c>
      <x:c r="H9" s="24" t="n">
        <x:v>0</x:v>
      </x:c>
      <x:c r="I9" s="24" t="n">
        <x:v>7</x:v>
      </x:c>
      <x:c r="J9" s="24" t="n">
        <x:v>0.875</x:v>
      </x:c>
      <x:c r="K9" s="24" t="n">
        <x:v>1</x:v>
      </x:c>
      <x:c r="L9" s="24" t="n">
        <x:v>0</x:v>
      </x:c>
      <x:c r="M9" s="24" t="n">
        <x:v>0</x:v>
      </x:c>
      <x:c r="N9" s="24" t="str">
        <x:v>保留（附条件）</x:v>
      </x:c>
      <x:c r="O9" s="24" t="str">
        <x:v>仅解释已知金额轮次，并联用CV028。</x:v>
      </x:c>
      <x:c r="P9" s="24" t="str">
        <x:v>FROZEN_STAGE4C</x:v>
      </x:c>
    </x:row>
    <x:row r="10" ht="48" customHeight="1">
      <x:c r="A10" s="24" t="str">
        <x:v>CV006</x:v>
      </x:c>
      <x:c r="B10" s="24" t="str">
        <x:v>已知金额轮次中位数</x:v>
      </x:c>
      <x:c r="C10" s="24" t="str">
        <x:v>B扩展</x:v>
      </x:c>
      <x:c r="D10" s="24" t="str">
        <x:v>单轮融资规模</x:v>
      </x:c>
      <x:c r="E10" s="24" t="n">
        <x:v>8</x:v>
      </x:c>
      <x:c r="F10" s="24" t="n">
        <x:v>7</x:v>
      </x:c>
      <x:c r="G10" s="24" t="n">
        <x:v>1</x:v>
      </x:c>
      <x:c r="H10" s="24" t="n">
        <x:v>0</x:v>
      </x:c>
      <x:c r="I10" s="24" t="n">
        <x:v>7</x:v>
      </x:c>
      <x:c r="J10" s="24" t="n">
        <x:v>0.875</x:v>
      </x:c>
      <x:c r="K10" s="24" t="n">
        <x:v>1</x:v>
      </x:c>
      <x:c r="L10" s="24" t="n">
        <x:v>0</x:v>
      </x:c>
      <x:c r="M10" s="24" t="n">
        <x:v>0</x:v>
      </x:c>
      <x:c r="N10" s="24" t="str">
        <x:v>保留（附条件）</x:v>
      </x:c>
      <x:c r="O10" s="24" t="str">
        <x:v>仅解释已知金额轮次；小轮数公司的中位数稳定性有限。</x:v>
      </x:c>
      <x:c r="P10" s="24" t="str">
        <x:v>FROZEN_STAGE4C</x:v>
      </x:c>
    </x:row>
    <x:row r="11" ht="48" customHeight="1">
      <x:c r="A11" s="24" t="str">
        <x:v>CV007</x:v>
      </x:c>
      <x:c r="B11" s="24" t="str">
        <x:v>最大已知单轮融资金额</x:v>
      </x:c>
      <x:c r="C11" s="24" t="str">
        <x:v>B扩展</x:v>
      </x:c>
      <x:c r="D11" s="24" t="str">
        <x:v>融资峰值</x:v>
      </x:c>
      <x:c r="E11" s="24" t="n">
        <x:v>8</x:v>
      </x:c>
      <x:c r="F11" s="24" t="n">
        <x:v>7</x:v>
      </x:c>
      <x:c r="G11" s="24" t="n">
        <x:v>1</x:v>
      </x:c>
      <x:c r="H11" s="24" t="n">
        <x:v>0</x:v>
      </x:c>
      <x:c r="I11" s="24" t="n">
        <x:v>7</x:v>
      </x:c>
      <x:c r="J11" s="24" t="n">
        <x:v>0.875</x:v>
      </x:c>
      <x:c r="K11" s="24" t="n">
        <x:v>1</x:v>
      </x:c>
      <x:c r="L11" s="24" t="n">
        <x:v>0</x:v>
      </x:c>
      <x:c r="M11" s="24" t="n">
        <x:v>0</x:v>
      </x:c>
      <x:c r="N11" s="24" t="str">
        <x:v>保留（附条件）</x:v>
      </x:c>
      <x:c r="O11" s="24" t="str">
        <x:v>最大已知轮不一定是真实最大轮，需联用CV028。</x:v>
      </x:c>
      <x:c r="P11" s="24" t="str">
        <x:v>FROZEN_STAGE4C</x:v>
      </x:c>
    </x:row>
    <x:row r="12" ht="48" customHeight="1">
      <x:c r="A12" s="24" t="str">
        <x:v>CV008</x:v>
      </x:c>
      <x:c r="B12" s="24" t="str">
        <x:v>最大已知轮金额占比</x:v>
      </x:c>
      <x:c r="C12" s="24" t="str">
        <x:v>B扩展</x:v>
      </x:c>
      <x:c r="D12" s="24" t="str">
        <x:v>融资集中度</x:v>
      </x:c>
      <x:c r="E12" s="24" t="n">
        <x:v>8</x:v>
      </x:c>
      <x:c r="F12" s="24" t="n">
        <x:v>7</x:v>
      </x:c>
      <x:c r="G12" s="24" t="n">
        <x:v>1</x:v>
      </x:c>
      <x:c r="H12" s="24" t="n">
        <x:v>0</x:v>
      </x:c>
      <x:c r="I12" s="24" t="n">
        <x:v>7</x:v>
      </x:c>
      <x:c r="J12" s="24" t="n">
        <x:v>0.875</x:v>
      </x:c>
      <x:c r="K12" s="24" t="n">
        <x:v>1</x:v>
      </x:c>
      <x:c r="L12" s="24" t="n">
        <x:v>0</x:v>
      </x:c>
      <x:c r="M12" s="24" t="n">
        <x:v>0</x:v>
      </x:c>
      <x:c r="N12" s="24" t="str">
        <x:v>保留（附条件）</x:v>
      </x:c>
      <x:c r="O12" s="24" t="str">
        <x:v>分母限定为已知事件锚点金额，不与公司层金额混用。</x:v>
      </x:c>
      <x:c r="P12" s="24" t="str">
        <x:v>FROZEN_STAGE4C</x:v>
      </x:c>
    </x:row>
    <x:row r="13" ht="48" customHeight="1">
      <x:c r="A13" s="24" t="str">
        <x:v>CV009</x:v>
      </x:c>
      <x:c r="B13" s="24" t="str">
        <x:v>融资时间跨度</x:v>
      </x:c>
      <x:c r="C13" s="24" t="str">
        <x:v>A核心</x:v>
      </x:c>
      <x:c r="D13" s="24" t="str">
        <x:v>融资节奏</x:v>
      </x:c>
      <x:c r="E13" s="24" t="n">
        <x:v>8</x:v>
      </x:c>
      <x:c r="F13" s="24" t="n">
        <x:v>5</x:v>
      </x:c>
      <x:c r="G13" s="24" t="n">
        <x:v>3</x:v>
      </x:c>
      <x:c r="H13" s="24" t="n">
        <x:v>0</x:v>
      </x:c>
      <x:c r="I13" s="24" t="n">
        <x:v>5</x:v>
      </x:c>
      <x:c r="J13" s="24" t="n">
        <x:v>0.625</x:v>
      </x:c>
      <x:c r="K13" s="24" t="n">
        <x:v>1</x:v>
      </x:c>
      <x:c r="L13" s="24" t="n">
        <x:v>0</x:v>
      </x:c>
      <x:c r="M13" s="24" t="n">
        <x:v>0</x:v>
      </x:c>
      <x:c r="N13" s="24" t="str">
        <x:v>保留（附条件）</x:v>
      </x:c>
      <x:c r="O13" s="24" t="str">
        <x:v>只适用于至少2轮且日期可用的公司。</x:v>
      </x:c>
      <x:c r="P13" s="24" t="str">
        <x:v>FROZEN_STAGE4C</x:v>
      </x:c>
    </x:row>
    <x:row r="14" ht="48" customHeight="1">
      <x:c r="A14" s="24" t="str">
        <x:v>CV010</x:v>
      </x:c>
      <x:c r="B14" s="24" t="str">
        <x:v>融资轮次间隔中位数</x:v>
      </x:c>
      <x:c r="C14" s="24" t="str">
        <x:v>B扩展</x:v>
      </x:c>
      <x:c r="D14" s="24" t="str">
        <x:v>融资节奏</x:v>
      </x:c>
      <x:c r="E14" s="24" t="n">
        <x:v>8</x:v>
      </x:c>
      <x:c r="F14" s="24" t="n">
        <x:v>5</x:v>
      </x:c>
      <x:c r="G14" s="24" t="n">
        <x:v>3</x:v>
      </x:c>
      <x:c r="H14" s="24" t="n">
        <x:v>0</x:v>
      </x:c>
      <x:c r="I14" s="24" t="n">
        <x:v>5</x:v>
      </x:c>
      <x:c r="J14" s="24" t="n">
        <x:v>0.625</x:v>
      </x:c>
      <x:c r="K14" s="24" t="n">
        <x:v>1</x:v>
      </x:c>
      <x:c r="L14" s="24" t="n">
        <x:v>0</x:v>
      </x:c>
      <x:c r="M14" s="24" t="n">
        <x:v>0</x:v>
      </x:c>
      <x:c r="N14" s="24" t="str">
        <x:v>保留（附条件）</x:v>
      </x:c>
      <x:c r="O14" s="24" t="str">
        <x:v>只适用于至少2轮且日期可用的公司。</x:v>
      </x:c>
      <x:c r="P14" s="24" t="str">
        <x:v>FROZEN_STAGE4C</x:v>
      </x:c>
    </x:row>
    <x:row r="15" ht="48" customHeight="1">
      <x:c r="A15" s="24" t="str">
        <x:v>CV011</x:v>
      </x:c>
      <x:c r="B15" s="24" t="str">
        <x:v>确认PE/VC参与标记</x:v>
      </x:c>
      <x:c r="C15" s="24" t="str">
        <x:v>A核心</x:v>
      </x:c>
      <x:c r="D15" s="24" t="str">
        <x:v>PEVC参与</x:v>
      </x:c>
      <x:c r="E15" s="24" t="n">
        <x:v>8</x:v>
      </x:c>
      <x:c r="F15" s="24" t="n">
        <x:v>8</x:v>
      </x:c>
      <x:c r="G15" s="24" t="n">
        <x:v>0</x:v>
      </x:c>
      <x:c r="H15" s="24" t="n">
        <x:v>0</x:v>
      </x:c>
      <x:c r="I15" s="24" t="n">
        <x:v>8</x:v>
      </x:c>
      <x:c r="J15" s="24" t="n">
        <x:v>1</x:v>
      </x:c>
      <x:c r="K15" s="24" t="n">
        <x:v>1</x:v>
      </x:c>
      <x:c r="L15" s="24" t="n">
        <x:v>5</x:v>
      </x:c>
      <x:c r="M15" s="24" t="n">
        <x:v>0</x:v>
      </x:c>
      <x:c r="N15" s="24" t="str">
        <x:v>保留</x:v>
      </x:c>
      <x:c r="O15" s="24" t="str">
        <x:v>8家公司均可计算，适合最基本PE/VC分组。</x:v>
      </x:c>
      <x:c r="P15" s="24" t="str">
        <x:v>FROZEN_STAGE4C</x:v>
      </x:c>
    </x:row>
    <x:row r="16" ht="48" customHeight="1">
      <x:c r="A16" s="24" t="str">
        <x:v>CV012</x:v>
      </x:c>
      <x:c r="B16" s="24" t="str">
        <x:v>确认PE/VC法律主体数</x:v>
      </x:c>
      <x:c r="C16" s="24" t="str">
        <x:v>A核心</x:v>
      </x:c>
      <x:c r="D16" s="24" t="str">
        <x:v>PEVC参与</x:v>
      </x:c>
      <x:c r="E16" s="24" t="n">
        <x:v>8</x:v>
      </x:c>
      <x:c r="F16" s="24" t="n">
        <x:v>8</x:v>
      </x:c>
      <x:c r="G16" s="24" t="n">
        <x:v>0</x:v>
      </x:c>
      <x:c r="H16" s="24" t="n">
        <x:v>0</x:v>
      </x:c>
      <x:c r="I16" s="24" t="n">
        <x:v>8</x:v>
      </x:c>
      <x:c r="J16" s="24" t="n">
        <x:v>1</x:v>
      </x:c>
      <x:c r="K16" s="24" t="n">
        <x:v>1</x:v>
      </x:c>
      <x:c r="L16" s="24" t="n">
        <x:v>5</x:v>
      </x:c>
      <x:c r="M16" s="24" t="n">
        <x:v>0</x:v>
      </x:c>
      <x:c r="N16" s="24" t="str">
        <x:v>保留</x:v>
      </x:c>
      <x:c r="O16" s="24" t="str">
        <x:v>8家公司均可计算，但法律主体数不等于投资体系数。</x:v>
      </x:c>
      <x:c r="P16" s="24" t="str">
        <x:v>FROZEN_STAGE4C</x:v>
      </x:c>
    </x:row>
    <x:row r="17" ht="48" customHeight="1">
      <x:c r="A17" s="24" t="str">
        <x:v>CV013</x:v>
      </x:c>
      <x:c r="B17" s="24" t="str">
        <x:v>确认PE/VC占直接主体比重</x:v>
      </x:c>
      <x:c r="C17" s="24" t="str">
        <x:v>B扩展</x:v>
      </x:c>
      <x:c r="D17" s="24" t="str">
        <x:v>PEVC参与</x:v>
      </x:c>
      <x:c r="E17" s="24" t="n">
        <x:v>8</x:v>
      </x:c>
      <x:c r="F17" s="24" t="n">
        <x:v>8</x:v>
      </x:c>
      <x:c r="G17" s="24" t="n">
        <x:v>0</x:v>
      </x:c>
      <x:c r="H17" s="24" t="n">
        <x:v>0</x:v>
      </x:c>
      <x:c r="I17" s="24" t="n">
        <x:v>8</x:v>
      </x:c>
      <x:c r="J17" s="24" t="n">
        <x:v>1</x:v>
      </x:c>
      <x:c r="K17" s="24" t="n">
        <x:v>1</x:v>
      </x:c>
      <x:c r="L17" s="24" t="n">
        <x:v>5</x:v>
      </x:c>
      <x:c r="M17" s="24" t="n">
        <x:v>0</x:v>
      </x:c>
      <x:c r="N17" s="24" t="str">
        <x:v>保留</x:v>
      </x:c>
      <x:c r="O17" s="24" t="str">
        <x:v>8家公司均可计算，用于相对主体规模比较。</x:v>
      </x:c>
      <x:c r="P17" s="24" t="str">
        <x:v>FROZEN_STAGE4C</x:v>
      </x:c>
    </x:row>
    <x:row r="18" ht="48" customHeight="1">
      <x:c r="A18" s="24" t="str">
        <x:v>CV014</x:v>
      </x:c>
      <x:c r="B18" s="24" t="str">
        <x:v>确认PE/VC参与融资轮数</x:v>
      </x:c>
      <x:c r="C18" s="24" t="str">
        <x:v>B扩展</x:v>
      </x:c>
      <x:c r="D18" s="24" t="str">
        <x:v>PEVC参与深度</x:v>
      </x:c>
      <x:c r="E18" s="24" t="n">
        <x:v>8</x:v>
      </x:c>
      <x:c r="F18" s="24" t="n">
        <x:v>8</x:v>
      </x:c>
      <x:c r="G18" s="24" t="n">
        <x:v>0</x:v>
      </x:c>
      <x:c r="H18" s="24" t="n">
        <x:v>0</x:v>
      </x:c>
      <x:c r="I18" s="24" t="n">
        <x:v>8</x:v>
      </x:c>
      <x:c r="J18" s="24" t="n">
        <x:v>1</x:v>
      </x:c>
      <x:c r="K18" s="24" t="n">
        <x:v>1</x:v>
      </x:c>
      <x:c r="L18" s="24" t="n">
        <x:v>5</x:v>
      </x:c>
      <x:c r="M18" s="24" t="n">
        <x:v>1</x:v>
      </x:c>
      <x:c r="N18" s="24" t="str">
        <x:v>保留（附条件）</x:v>
      </x:c>
      <x:c r="O18" s="24" t="str">
        <x:v>8家公司均可计算；仅3家公司存在确认PE/VC，适合描述参与深度，不支持小样本推断。</x:v>
      </x:c>
      <x:c r="P18" s="24" t="str">
        <x:v>FROZEN_STAGE4C</x:v>
      </x:c>
    </x:row>
    <x:row r="19" ht="48" customHeight="1">
      <x:c r="A19" s="24" t="str">
        <x:v>CV015</x:v>
      </x:c>
      <x:c r="B19" s="24" t="str">
        <x:v>首次确认PE/VC进入日期</x:v>
      </x:c>
      <x:c r="C19" s="24" t="str">
        <x:v>A核心</x:v>
      </x:c>
      <x:c r="D19" s="24" t="str">
        <x:v>PEVC进入时点</x:v>
      </x:c>
      <x:c r="E19" s="24" t="n">
        <x:v>8</x:v>
      </x:c>
      <x:c r="F19" s="24" t="n">
        <x:v>3</x:v>
      </x:c>
      <x:c r="G19" s="24" t="n">
        <x:v>5</x:v>
      </x:c>
      <x:c r="H19" s="24" t="n">
        <x:v>0</x:v>
      </x:c>
      <x:c r="I19" s="24" t="n">
        <x:v>3</x:v>
      </x:c>
      <x:c r="J19" s="24" t="n">
        <x:v>0.375</x:v>
      </x:c>
      <x:c r="K19" s="24" t="n">
        <x:v>1</x:v>
      </x:c>
      <x:c r="L19" s="24" t="n">
        <x:v>0</x:v>
      </x:c>
      <x:c r="M19" s="24" t="n">
        <x:v>1</x:v>
      </x:c>
      <x:c r="N19" s="24" t="str">
        <x:v>仅案例分析</x:v>
      </x:c>
      <x:c r="O19" s="24" t="str">
        <x:v>3家有确认PE/VC且均可识别进入日期，但适用公司仅3家。</x:v>
      </x:c>
      <x:c r="P19" s="24" t="str">
        <x:v>FROZEN_STAGE4C</x:v>
      </x:c>
    </x:row>
    <x:row r="20" ht="48" customHeight="1">
      <x:c r="A20" s="24" t="str">
        <x:v>CV016</x:v>
      </x:c>
      <x:c r="B20" s="24" t="str">
        <x:v>首次确认PE/VC进入年份</x:v>
      </x:c>
      <x:c r="C20" s="24" t="str">
        <x:v>B扩展</x:v>
      </x:c>
      <x:c r="D20" s="24" t="str">
        <x:v>PEVC进入时点</x:v>
      </x:c>
      <x:c r="E20" s="24" t="n">
        <x:v>8</x:v>
      </x:c>
      <x:c r="F20" s="24" t="n">
        <x:v>3</x:v>
      </x:c>
      <x:c r="G20" s="24" t="n">
        <x:v>5</x:v>
      </x:c>
      <x:c r="H20" s="24" t="n">
        <x:v>0</x:v>
      </x:c>
      <x:c r="I20" s="24" t="n">
        <x:v>3</x:v>
      </x:c>
      <x:c r="J20" s="24" t="n">
        <x:v>0.375</x:v>
      </x:c>
      <x:c r="K20" s="24" t="n">
        <x:v>1</x:v>
      </x:c>
      <x:c r="L20" s="24" t="n">
        <x:v>0</x:v>
      </x:c>
      <x:c r="M20" s="24" t="n">
        <x:v>1</x:v>
      </x:c>
      <x:c r="N20" s="24" t="str">
        <x:v>仅案例分析</x:v>
      </x:c>
      <x:c r="O20" s="24" t="str">
        <x:v>3家有确认PE/VC且年份可用，用作路径叙事或案例选择锚点。</x:v>
      </x:c>
      <x:c r="P20" s="24" t="str">
        <x:v>FROZEN_STAGE4C</x:v>
      </x:c>
    </x:row>
    <x:row r="21" ht="48" customHeight="1">
      <x:c r="A21" s="24" t="str">
        <x:v>CV017</x:v>
      </x:c>
      <x:c r="B21" s="24" t="str">
        <x:v>首次确认PE/VC融资轮位置</x:v>
      </x:c>
      <x:c r="C21" s="24" t="str">
        <x:v>B扩展</x:v>
      </x:c>
      <x:c r="D21" s="24" t="str">
        <x:v>PEVC进入时点</x:v>
      </x:c>
      <x:c r="E21" s="24" t="n">
        <x:v>8</x:v>
      </x:c>
      <x:c r="F21" s="24" t="n">
        <x:v>3</x:v>
      </x:c>
      <x:c r="G21" s="24" t="n">
        <x:v>5</x:v>
      </x:c>
      <x:c r="H21" s="24" t="n">
        <x:v>0</x:v>
      </x:c>
      <x:c r="I21" s="24" t="n">
        <x:v>3</x:v>
      </x:c>
      <x:c r="J21" s="24" t="n">
        <x:v>0.375</x:v>
      </x:c>
      <x:c r="K21" s="24" t="n">
        <x:v>1</x:v>
      </x:c>
      <x:c r="L21" s="24" t="n">
        <x:v>0</x:v>
      </x:c>
      <x:c r="M21" s="24" t="n">
        <x:v>1</x:v>
      </x:c>
      <x:c r="N21" s="24" t="str">
        <x:v>仅案例分析</x:v>
      </x:c>
      <x:c r="O21" s="24" t="str">
        <x:v>3家有确认PE/VC且可计算轮次位置；纯转让进入时该指标仍不适用。</x:v>
      </x:c>
      <x:c r="P21" s="24" t="str">
        <x:v>FROZEN_STAGE4C</x:v>
      </x:c>
    </x:row>
    <x:row r="22" ht="48" customHeight="1">
      <x:c r="A22" s="24" t="str">
        <x:v>CV018</x:v>
      </x:c>
      <x:c r="B22" s="24" t="str">
        <x:v>确认PE/VC间接路径标记</x:v>
      </x:c>
      <x:c r="C22" s="24" t="str">
        <x:v>B扩展</x:v>
      </x:c>
      <x:c r="D22" s="24" t="str">
        <x:v>投资路径复杂度</x:v>
      </x:c>
      <x:c r="E22" s="24" t="n">
        <x:v>8</x:v>
      </x:c>
      <x:c r="F22" s="24" t="n">
        <x:v>8</x:v>
      </x:c>
      <x:c r="G22" s="24" t="n">
        <x:v>0</x:v>
      </x:c>
      <x:c r="H22" s="24" t="n">
        <x:v>0</x:v>
      </x:c>
      <x:c r="I22" s="24" t="n">
        <x:v>8</x:v>
      </x:c>
      <x:c r="J22" s="24" t="n">
        <x:v>1</x:v>
      </x:c>
      <x:c r="K22" s="24" t="n">
        <x:v>1</x:v>
      </x:c>
      <x:c r="L22" s="24" t="n">
        <x:v>7</x:v>
      </x:c>
      <x:c r="M22" s="24" t="n">
        <x:v>1</x:v>
      </x:c>
      <x:c r="N22" s="24" t="str">
        <x:v>保留（附条件）</x:v>
      </x:c>
      <x:c r="O22" s="24" t="str">
        <x:v>8家公司均可计算；无PE/VC公司为逻辑0，三协电机的0依赖补充路径完整覆盖。</x:v>
      </x:c>
      <x:c r="P22" s="24" t="str">
        <x:v>FROZEN_STAGE4C</x:v>
      </x:c>
    </x:row>
    <x:row r="23" ht="48" customHeight="1">
      <x:c r="A23" s="24" t="str">
        <x:v>CV019</x:v>
      </x:c>
      <x:c r="B23" s="24" t="str">
        <x:v>确认PE/VC进入方式多样性</x:v>
      </x:c>
      <x:c r="C23" s="24" t="str">
        <x:v>B扩展</x:v>
      </x:c>
      <x:c r="D23" s="24" t="str">
        <x:v>PEVC进入方式</x:v>
      </x:c>
      <x:c r="E23" s="24" t="n">
        <x:v>8</x:v>
      </x:c>
      <x:c r="F23" s="24" t="n">
        <x:v>8</x:v>
      </x:c>
      <x:c r="G23" s="24" t="n">
        <x:v>0</x:v>
      </x:c>
      <x:c r="H23" s="24" t="n">
        <x:v>0</x:v>
      </x:c>
      <x:c r="I23" s="24" t="n">
        <x:v>8</x:v>
      </x:c>
      <x:c r="J23" s="24" t="n">
        <x:v>1</x:v>
      </x:c>
      <x:c r="K23" s="24" t="n">
        <x:v>1</x:v>
      </x:c>
      <x:c r="L23" s="24" t="n">
        <x:v>5</x:v>
      </x:c>
      <x:c r="M23" s="24" t="n">
        <x:v>1</x:v>
      </x:c>
      <x:c r="N23" s="24" t="str">
        <x:v>保留（附条件）</x:v>
      </x:c>
      <x:c r="O23" s="24" t="str">
        <x:v>8家公司均可计算；进入方式种类不代表融资轮次、金额或路径深度。</x:v>
      </x:c>
      <x:c r="P23" s="24" t="str">
        <x:v>FROZEN_STAGE4C</x:v>
      </x:c>
    </x:row>
    <x:row r="24" ht="48" customHeight="1">
      <x:c r="A24" s="24" t="str">
        <x:v>CV020</x:v>
      </x:c>
      <x:c r="B24" s="24" t="str">
        <x:v>直接参与法律主体数</x:v>
      </x:c>
      <x:c r="C24" s="24" t="str">
        <x:v>A核心</x:v>
      </x:c>
      <x:c r="D24" s="24" t="str">
        <x:v>参与结构规模</x:v>
      </x:c>
      <x:c r="E24" s="24" t="n">
        <x:v>8</x:v>
      </x:c>
      <x:c r="F24" s="24" t="n">
        <x:v>8</x:v>
      </x:c>
      <x:c r="G24" s="24" t="n">
        <x:v>0</x:v>
      </x:c>
      <x:c r="H24" s="24" t="n">
        <x:v>0</x:v>
      </x:c>
      <x:c r="I24" s="24" t="n">
        <x:v>8</x:v>
      </x:c>
      <x:c r="J24" s="24" t="n">
        <x:v>1</x:v>
      </x:c>
      <x:c r="K24" s="24" t="n">
        <x:v>1</x:v>
      </x:c>
      <x:c r="L24" s="24" t="n">
        <x:v>0</x:v>
      </x:c>
      <x:c r="M24" s="24" t="n">
        <x:v>0</x:v>
      </x:c>
      <x:c r="N24" s="24" t="str">
        <x:v>保留</x:v>
      </x:c>
      <x:c r="O24" s="24" t="str">
        <x:v>8家公司均可使用，但不等于投资体系或当前股东数。</x:v>
      </x:c>
      <x:c r="P24" s="24" t="str">
        <x:v>FROZEN_STAGE4C</x:v>
      </x:c>
    </x:row>
    <x:row r="25" ht="48" customHeight="1">
      <x:c r="A25" s="24" t="str">
        <x:v>CV021</x:v>
      </x:c>
      <x:c r="B25" s="24" t="str">
        <x:v>融资投资方法律主体数</x:v>
      </x:c>
      <x:c r="C25" s="24" t="str">
        <x:v>B扩展</x:v>
      </x:c>
      <x:c r="D25" s="24" t="str">
        <x:v>融资参与广度</x:v>
      </x:c>
      <x:c r="E25" s="24" t="n">
        <x:v>8</x:v>
      </x:c>
      <x:c r="F25" s="24" t="n">
        <x:v>8</x:v>
      </x:c>
      <x:c r="G25" s="24" t="n">
        <x:v>0</x:v>
      </x:c>
      <x:c r="H25" s="24" t="n">
        <x:v>0</x:v>
      </x:c>
      <x:c r="I25" s="24" t="n">
        <x:v>8</x:v>
      </x:c>
      <x:c r="J25" s="24" t="n">
        <x:v>1</x:v>
      </x:c>
      <x:c r="K25" s="24" t="n">
        <x:v>1</x:v>
      </x:c>
      <x:c r="L25" s="24" t="n">
        <x:v>1</x:v>
      </x:c>
      <x:c r="M25" s="24" t="n">
        <x:v>6</x:v>
      </x:c>
      <x:c r="N25" s="24" t="str">
        <x:v>保留（附条件）</x:v>
      </x:c>
      <x:c r="O25" s="24" t="str">
        <x:v>8家公司均可计算；云汉使用研究层角色映射，黄山使用披露简称补充主体。</x:v>
      </x:c>
      <x:c r="P25" s="24" t="str">
        <x:v>FROZEN_STAGE4C</x:v>
      </x:c>
    </x:row>
    <x:row r="26" ht="48" customHeight="1">
      <x:c r="A26" s="24" t="str">
        <x:v>CV022</x:v>
      </x:c>
      <x:c r="B26" s="24" t="str">
        <x:v>每轮融资投资方密度</x:v>
      </x:c>
      <x:c r="C26" s="24" t="str">
        <x:v>B扩展</x:v>
      </x:c>
      <x:c r="D26" s="24" t="str">
        <x:v>融资参与密度</x:v>
      </x:c>
      <x:c r="E26" s="24" t="n">
        <x:v>8</x:v>
      </x:c>
      <x:c r="F26" s="24" t="n">
        <x:v>7</x:v>
      </x:c>
      <x:c r="G26" s="24" t="n">
        <x:v>1</x:v>
      </x:c>
      <x:c r="H26" s="24" t="n">
        <x:v>0</x:v>
      </x:c>
      <x:c r="I26" s="24" t="n">
        <x:v>7</x:v>
      </x:c>
      <x:c r="J26" s="24" t="n">
        <x:v>0.875</x:v>
      </x:c>
      <x:c r="K26" s="24" t="n">
        <x:v>1</x:v>
      </x:c>
      <x:c r="L26" s="24" t="n">
        <x:v>0</x:v>
      </x:c>
      <x:c r="M26" s="24" t="n">
        <x:v>6</x:v>
      </x:c>
      <x:c r="N26" s="24" t="str">
        <x:v>保留（附条件）</x:v>
      </x:c>
      <x:c r="O26" s="24" t="str">
        <x:v>7个适用公司均可计算；影石创新无冻结融资轮，属于结构性不适用。</x:v>
      </x:c>
      <x:c r="P26" s="24" t="str">
        <x:v>FROZEN_STAGE4C</x:v>
      </x:c>
    </x:row>
    <x:row r="27" ht="48" customHeight="1">
      <x:c r="A27" s="24" t="str">
        <x:v>CV023</x:v>
      </x:c>
      <x:c r="B27" s="24" t="str">
        <x:v>融资方式多样性</x:v>
      </x:c>
      <x:c r="C27" s="24" t="str">
        <x:v>B扩展</x:v>
      </x:c>
      <x:c r="D27" s="24" t="str">
        <x:v>融资机制</x:v>
      </x:c>
      <x:c r="E27" s="24" t="n">
        <x:v>8</x:v>
      </x:c>
      <x:c r="F27" s="24" t="n">
        <x:v>8</x:v>
      </x:c>
      <x:c r="G27" s="24" t="n">
        <x:v>0</x:v>
      </x:c>
      <x:c r="H27" s="24" t="n">
        <x:v>0</x:v>
      </x:c>
      <x:c r="I27" s="24" t="n">
        <x:v>8</x:v>
      </x:c>
      <x:c r="J27" s="24" t="n">
        <x:v>1</x:v>
      </x:c>
      <x:c r="K27" s="24" t="n">
        <x:v>1</x:v>
      </x:c>
      <x:c r="L27" s="24" t="n">
        <x:v>1</x:v>
      </x:c>
      <x:c r="M27" s="24" t="n">
        <x:v>0</x:v>
      </x:c>
      <x:c r="N27" s="24" t="str">
        <x:v>暂缓</x:v>
      </x:c>
      <x:c r="O27" s="24" t="str">
        <x:v>当前8家公司取值与CV001完全一致，没有新增横向信息。</x:v>
      </x:c>
      <x:c r="P27" s="24" t="str">
        <x:v>FROZEN_STAGE4C</x:v>
      </x:c>
    </x:row>
    <x:row r="28" ht="48" customHeight="1">
      <x:c r="A28" s="24" t="str">
        <x:v>CV024</x:v>
      </x:c>
      <x:c r="B28" s="24" t="str">
        <x:v>股权转让交易数</x:v>
      </x:c>
      <x:c r="C28" s="24" t="str">
        <x:v>A核心</x:v>
      </x:c>
      <x:c r="D28" s="24" t="str">
        <x:v>二级股权流动</x:v>
      </x:c>
      <x:c r="E28" s="24" t="n">
        <x:v>8</x:v>
      </x:c>
      <x:c r="F28" s="24" t="n">
        <x:v>8</x:v>
      </x:c>
      <x:c r="G28" s="24" t="n">
        <x:v>0</x:v>
      </x:c>
      <x:c r="H28" s="24" t="n">
        <x:v>0</x:v>
      </x:c>
      <x:c r="I28" s="24" t="n">
        <x:v>8</x:v>
      </x:c>
      <x:c r="J28" s="24" t="n">
        <x:v>1</x:v>
      </x:c>
      <x:c r="K28" s="24" t="n">
        <x:v>1</x:v>
      </x:c>
      <x:c r="L28" s="24" t="n">
        <x:v>4</x:v>
      </x:c>
      <x:c r="M28" s="24" t="n">
        <x:v>0</x:v>
      </x:c>
      <x:c r="N28" s="24" t="str">
        <x:v>保留</x:v>
      </x:c>
      <x:c r="O28" s="24" t="str">
        <x:v>8家公司均可计算，且与发行人融资轮数严格分开。</x:v>
      </x:c>
      <x:c r="P28" s="24" t="str">
        <x:v>FROZEN_STAGE4C</x:v>
      </x:c>
    </x:row>
    <x:row r="29" ht="48" customHeight="1">
      <x:c r="A29" s="24" t="str">
        <x:v>CV025</x:v>
      </x:c>
      <x:c r="B29" s="24" t="str">
        <x:v>可核验股权转让对价下限</x:v>
      </x:c>
      <x:c r="C29" s="24" t="str">
        <x:v>A核心</x:v>
      </x:c>
      <x:c r="D29" s="24" t="str">
        <x:v>二级股权流动</x:v>
      </x:c>
      <x:c r="E29" s="24" t="n">
        <x:v>8</x:v>
      </x:c>
      <x:c r="F29" s="24" t="n">
        <x:v>4</x:v>
      </x:c>
      <x:c r="G29" s="24" t="n">
        <x:v>4</x:v>
      </x:c>
      <x:c r="H29" s="24" t="n">
        <x:v>0</x:v>
      </x:c>
      <x:c r="I29" s="24" t="n">
        <x:v>4</x:v>
      </x:c>
      <x:c r="J29" s="24" t="n">
        <x:v>0.5</x:v>
      </x:c>
      <x:c r="K29" s="24" t="n">
        <x:v>1</x:v>
      </x:c>
      <x:c r="L29" s="24" t="n">
        <x:v>1</x:v>
      </x:c>
      <x:c r="M29" s="24" t="n">
        <x:v>0</x:v>
      </x:c>
      <x:c r="N29" s="24" t="str">
        <x:v>保留（附条件）</x:v>
      </x:c>
      <x:c r="O29" s="24" t="str">
        <x:v>仅4家公司适用或有披露值，需保留转让金额状态。</x:v>
      </x:c>
      <x:c r="P29" s="24" t="str">
        <x:v>FROZEN_STAGE4C</x:v>
      </x:c>
    </x:row>
    <x:row r="30" ht="48" customHeight="1">
      <x:c r="A30" s="24" t="str">
        <x:v>CV026</x:v>
      </x:c>
      <x:c r="B30" s="24" t="str">
        <x:v>转让对价与融资金额比</x:v>
      </x:c>
      <x:c r="C30" s="24" t="str">
        <x:v>B扩展</x:v>
      </x:c>
      <x:c r="D30" s="24" t="str">
        <x:v>二级股权流动</x:v>
      </x:c>
      <x:c r="E30" s="24" t="n">
        <x:v>8</x:v>
      </x:c>
      <x:c r="F30" s="24" t="n">
        <x:v>3</x:v>
      </x:c>
      <x:c r="G30" s="24" t="n">
        <x:v>4</x:v>
      </x:c>
      <x:c r="H30" s="24" t="n">
        <x:v>1</x:v>
      </x:c>
      <x:c r="I30" s="24" t="n">
        <x:v>4</x:v>
      </x:c>
      <x:c r="J30" s="24" t="n">
        <x:v>0.375</x:v>
      </x:c>
      <x:c r="K30" s="24" t="n">
        <x:v>0.75</x:v>
      </x:c>
      <x:c r="L30" s="24" t="n">
        <x:v>1</x:v>
      </x:c>
      <x:c r="M30" s="24" t="n">
        <x:v>0</x:v>
      </x:c>
      <x:c r="N30" s="24" t="str">
        <x:v>仅案例分析</x:v>
      </x:c>
      <x:c r="O30" s="24" t="str">
        <x:v>只有3家公司同时具备可用融资和转让金额。</x:v>
      </x:c>
      <x:c r="P30" s="24" t="str">
        <x:v>FROZEN_STAGE4C</x:v>
      </x:c>
    </x:row>
    <x:row r="31" ht="48" customHeight="1">
      <x:c r="A31" s="24" t="str">
        <x:v>CV027</x:v>
      </x:c>
      <x:c r="B31" s="24" t="str">
        <x:v>金额已知融资轮数</x:v>
      </x:c>
      <x:c r="C31" s="24" t="str">
        <x:v>Q质量</x:v>
      </x:c>
      <x:c r="D31" s="24" t="str">
        <x:v>数据可用性</x:v>
      </x:c>
      <x:c r="E31" s="24" t="n">
        <x:v>8</x:v>
      </x:c>
      <x:c r="F31" s="24" t="n">
        <x:v>8</x:v>
      </x:c>
      <x:c r="G31" s="24" t="n">
        <x:v>0</x:v>
      </x:c>
      <x:c r="H31" s="24" t="n">
        <x:v>0</x:v>
      </x:c>
      <x:c r="I31" s="24" t="n">
        <x:v>8</x:v>
      </x:c>
      <x:c r="J31" s="24" t="n">
        <x:v>1</x:v>
      </x:c>
      <x:c r="K31" s="24" t="n">
        <x:v>1</x:v>
      </x:c>
      <x:c r="L31" s="24" t="n">
        <x:v>1</x:v>
      </x:c>
      <x:c r="M31" s="24" t="n">
        <x:v>0</x:v>
      </x:c>
      <x:c r="N31" s="24" t="str">
        <x:v>保留</x:v>
      </x:c>
      <x:c r="O31" s="24" t="str">
        <x:v>用于说明轮次金额指标的有效观察数。</x:v>
      </x:c>
      <x:c r="P31" s="24" t="str">
        <x:v>FROZEN_STAGE4C</x:v>
      </x:c>
    </x:row>
    <x:row r="32" ht="48" customHeight="1">
      <x:c r="A32" s="24" t="str">
        <x:v>CV028</x:v>
      </x:c>
      <x:c r="B32" s="24" t="str">
        <x:v>融资轮金额覆盖率</x:v>
      </x:c>
      <x:c r="C32" s="24" t="str">
        <x:v>Q质量</x:v>
      </x:c>
      <x:c r="D32" s="24" t="str">
        <x:v>数据可用性</x:v>
      </x:c>
      <x:c r="E32" s="24" t="n">
        <x:v>8</x:v>
      </x:c>
      <x:c r="F32" s="24" t="n">
        <x:v>7</x:v>
      </x:c>
      <x:c r="G32" s="24" t="n">
        <x:v>1</x:v>
      </x:c>
      <x:c r="H32" s="24" t="n">
        <x:v>0</x:v>
      </x:c>
      <x:c r="I32" s="24" t="n">
        <x:v>7</x:v>
      </x:c>
      <x:c r="J32" s="24" t="n">
        <x:v>0.875</x:v>
      </x:c>
      <x:c r="K32" s="24" t="n">
        <x:v>1</x:v>
      </x:c>
      <x:c r="L32" s="24" t="n">
        <x:v>0</x:v>
      </x:c>
      <x:c r="M32" s="24" t="n">
        <x:v>0</x:v>
      </x:c>
      <x:c r="N32" s="24" t="str">
        <x:v>保留</x:v>
      </x:c>
      <x:c r="O32" s="24" t="str">
        <x:v>作为CV005—CV008的必要解释门槛。</x:v>
      </x:c>
      <x:c r="P32" s="24" t="str">
        <x:v>FROZEN_STAGE4C</x:v>
      </x:c>
    </x:row>
    <x:row r="33" ht="48" customHeight="1">
      <x:c r="A33" s="24" t="str">
        <x:v>CV029</x:v>
      </x:c>
      <x:c r="B33" s="24" t="str">
        <x:v>融资轮日期覆盖率</x:v>
      </x:c>
      <x:c r="C33" s="24" t="str">
        <x:v>Q质量</x:v>
      </x:c>
      <x:c r="D33" s="24" t="str">
        <x:v>数据可用性</x:v>
      </x:c>
      <x:c r="E33" s="24" t="n">
        <x:v>8</x:v>
      </x:c>
      <x:c r="F33" s="24" t="n">
        <x:v>7</x:v>
      </x:c>
      <x:c r="G33" s="24" t="n">
        <x:v>1</x:v>
      </x:c>
      <x:c r="H33" s="24" t="n">
        <x:v>0</x:v>
      </x:c>
      <x:c r="I33" s="24" t="n">
        <x:v>7</x:v>
      </x:c>
      <x:c r="J33" s="24" t="n">
        <x:v>0.875</x:v>
      </x:c>
      <x:c r="K33" s="24" t="n">
        <x:v>1</x:v>
      </x:c>
      <x:c r="L33" s="24" t="n">
        <x:v>0</x:v>
      </x:c>
      <x:c r="M33" s="24" t="n">
        <x:v>0</x:v>
      </x:c>
      <x:c r="N33" s="24" t="str">
        <x:v>保留</x:v>
      </x:c>
      <x:c r="O33" s="24" t="str">
        <x:v>作为CV009—CV010的必要解释门槛。</x:v>
      </x:c>
      <x:c r="P33" s="24" t="str">
        <x:v>FROZEN_STAGE4C</x:v>
      </x:c>
    </x:row>
    <x:row r="34" ht="48" customHeight="1">
      <x:c r="A34" s="24" t="str">
        <x:v>CV030</x:v>
      </x:c>
      <x:c r="B34" s="24" t="str">
        <x:v>计算型轮次金额占比</x:v>
      </x:c>
      <x:c r="C34" s="24" t="str">
        <x:v>Q质量</x:v>
      </x:c>
      <x:c r="D34" s="24" t="str">
        <x:v>数值来源结构</x:v>
      </x:c>
      <x:c r="E34" s="24" t="n">
        <x:v>8</x:v>
      </x:c>
      <x:c r="F34" s="24" t="n">
        <x:v>7</x:v>
      </x:c>
      <x:c r="G34" s="24" t="n">
        <x:v>1</x:v>
      </x:c>
      <x:c r="H34" s="24" t="n">
        <x:v>0</x:v>
      </x:c>
      <x:c r="I34" s="24" t="n">
        <x:v>7</x:v>
      </x:c>
      <x:c r="J34" s="24" t="n">
        <x:v>0.875</x:v>
      </x:c>
      <x:c r="K34" s="24" t="n">
        <x:v>1</x:v>
      </x:c>
      <x:c r="L34" s="24" t="n">
        <x:v>3</x:v>
      </x:c>
      <x:c r="M34" s="24" t="n">
        <x:v>0</x:v>
      </x:c>
      <x:c r="N34" s="24" t="str">
        <x:v>保留</x:v>
      </x:c>
      <x:c r="O34" s="24" t="str">
        <x:v>用于区分直接披露金额与明确计算金额。</x:v>
      </x:c>
      <x:c r="P34" s="24" t="str">
        <x:v>FROZEN_STAGE4C</x:v>
      </x:c>
    </x:row>
    <x:row r="35" ht="48" customHeight="1">
      <x:c r="A35" s="24" t="str">
        <x:v>CV031</x:v>
      </x:c>
      <x:c r="B35" s="24" t="str">
        <x:v>每轮融资证据记录数</x:v>
      </x:c>
      <x:c r="C35" s="24" t="str">
        <x:v>Q质量</x:v>
      </x:c>
      <x:c r="D35" s="24" t="str">
        <x:v>证据密度</x:v>
      </x:c>
      <x:c r="E35" s="24" t="n">
        <x:v>8</x:v>
      </x:c>
      <x:c r="F35" s="24" t="n">
        <x:v>7</x:v>
      </x:c>
      <x:c r="G35" s="24" t="n">
        <x:v>1</x:v>
      </x:c>
      <x:c r="H35" s="24" t="n">
        <x:v>0</x:v>
      </x:c>
      <x:c r="I35" s="24" t="n">
        <x:v>7</x:v>
      </x:c>
      <x:c r="J35" s="24" t="n">
        <x:v>0.875</x:v>
      </x:c>
      <x:c r="K35" s="24" t="n">
        <x:v>1</x:v>
      </x:c>
      <x:c r="L35" s="24" t="n">
        <x:v>1</x:v>
      </x:c>
      <x:c r="M35" s="24" t="n">
        <x:v>1</x:v>
      </x:c>
      <x:c r="N35" s="24" t="str">
        <x:v>保留</x:v>
      </x:c>
      <x:c r="O35" s="24" t="str">
        <x:v>三协电机可计算为0但必须附证据物化限制警告。</x:v>
      </x:c>
      <x:c r="P35" s="24" t="str">
        <x:v>FROZEN_STAGE4C</x:v>
      </x:c>
    </x:row>
    <x:row r="36" ht="48" customHeight="1">
      <x:c r="A36" s="25" t="str">
        <x:v>CV032</x:v>
      </x:c>
      <x:c r="B36" s="25" t="str">
        <x:v>公司级披露限制标记</x:v>
      </x:c>
      <x:c r="C36" s="25" t="str">
        <x:v>Q质量</x:v>
      </x:c>
      <x:c r="D36" s="25" t="str">
        <x:v>披露边界</x:v>
      </x:c>
      <x:c r="E36" s="25" t="n">
        <x:v>8</x:v>
      </x:c>
      <x:c r="F36" s="25" t="n">
        <x:v>8</x:v>
      </x:c>
      <x:c r="G36" s="25" t="n">
        <x:v>0</x:v>
      </x:c>
      <x:c r="H36" s="25" t="n">
        <x:v>0</x:v>
      </x:c>
      <x:c r="I36" s="25" t="n">
        <x:v>8</x:v>
      </x:c>
      <x:c r="J36" s="25" t="n">
        <x:v>1</x:v>
      </x:c>
      <x:c r="K36" s="25" t="n">
        <x:v>1</x:v>
      </x:c>
      <x:c r="L36" s="25" t="n">
        <x:v>5</x:v>
      </x:c>
      <x:c r="M36" s="25" t="n">
        <x:v>0</x:v>
      </x:c>
      <x:c r="N36" s="25" t="str">
        <x:v>保留</x:v>
      </x:c>
      <x:c r="O36" s="25" t="str">
        <x:v>用于显式携带公司级披露限制，不作为公司优劣指标。</x:v>
      </x:c>
      <x:c r="P36" s="25" t="str">
        <x:v>FROZEN_STAGE4C</x:v>
      </x:c>
    </x:row>
  </x:sheetData>
  <x:mergeCells>
    <x:mergeCell ref="A1:P1"/>
    <x:mergeCell ref="A2:P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20" hidden="0" customWidth="1"/>
    <x:col min="4" max="4" width="12" hidden="0" customWidth="1"/>
    <x:col min="5" max="5" width="30" hidden="0" customWidth="1"/>
    <x:col min="6" max="6" width="24" hidden="0" customWidth="1"/>
    <x:col min="7" max="7" width="12" hidden="0" customWidth="1"/>
    <x:col min="8" max="8" width="16" hidden="0" customWidth="1"/>
    <x:col min="9" max="9" width="14" hidden="0" customWidth="1"/>
    <x:col min="10" max="10" width="18" hidden="0" customWidth="1"/>
    <x:col min="11" max="11" width="18" hidden="0" customWidth="1"/>
    <x:col min="12" max="12" width="20" hidden="0" customWidth="1"/>
    <x:col min="13" max="13" width="20" hidden="0" customWidth="1"/>
    <x:col min="14" max="14" width="22" hidden="0" customWidth="1"/>
    <x:col min="15" max="15" width="50" hidden="0" customWidth="1"/>
    <x:col min="16" max="16" width="16" hidden="0" customWidth="1"/>
    <x:col min="17" max="17" width="20" hidden="0" customWidth="1"/>
    <x:col min="18" max="18" width="42" hidden="0" customWidth="1"/>
    <x:col min="19" max="19" width="46" hidden="0" customWidth="1"/>
    <x:col min="20" max="20" width="54" hidden="0" customWidth="1"/>
    <x:col min="21" max="21" width="22" hidden="0" customWidth="1"/>
    <x:col min="22" max="22" width="24" hidden="0" customWidth="1"/>
    <x:col min="23" max="23" width="16" hidden="0" customWidth="1"/>
  </x:cols>
  <x:sheetData>
    <x:row r="1" ht="32" customHeight="1">
      <x:c r="A1" s="34" t="str">
        <x:v>公司—变量最终冻结长表</x:v>
      </x:c>
      <x:c r="B1" s="34"/>
      <x:c r="C1" s="34"/>
      <x:c r="D1" s="34"/>
      <x:c r="E1" s="34"/>
      <x:c r="F1" s="34"/>
      <x:c r="G1" s="34"/>
      <x:c r="H1" s="34"/>
      <x:c r="I1" s="34"/>
      <x:c r="J1" s="34"/>
      <x:c r="K1" s="34"/>
      <x:c r="L1" s="34"/>
      <x:c r="M1" s="34"/>
      <x:c r="N1" s="34"/>
      <x:c r="O1" s="34"/>
      <x:c r="P1" s="34"/>
      <x:c r="Q1" s="34"/>
      <x:c r="R1" s="34"/>
      <x:c r="S1" s="34"/>
      <x:c r="T1" s="34"/>
      <x:c r="U1" s="34"/>
      <x:c r="V1" s="34"/>
      <x:c r="W1" s="34"/>
    </x:row>
    <x:row r="2" ht="38" customHeight="1">
      <x:c r="A2" s="35" t="str">
        <x:v>8家公司×32变量=256单元；本表是Week10方法开发的直接数据接口。</x:v>
      </x:c>
      <x:c r="B2" s="35"/>
      <x:c r="C2" s="35"/>
      <x:c r="D2" s="35"/>
      <x:c r="E2" s="35"/>
      <x:c r="F2" s="35"/>
      <x:c r="G2" s="35"/>
      <x:c r="H2" s="35"/>
      <x:c r="I2" s="35"/>
      <x:c r="J2" s="35"/>
      <x:c r="K2" s="35"/>
      <x:c r="L2" s="35"/>
      <x:c r="M2" s="35"/>
      <x:c r="N2" s="35"/>
      <x:c r="O2" s="35"/>
      <x:c r="P2" s="35"/>
      <x:c r="Q2" s="35"/>
      <x:c r="R2" s="35"/>
      <x:c r="S2" s="35"/>
      <x:c r="T2" s="35"/>
      <x:c r="U2" s="35"/>
      <x:c r="V2" s="35"/>
      <x:c r="W2" s="35"/>
    </x:row>
    <x:row r="3">
      <x:c r="A3" s="36"/>
      <x:c r="B3" s="36"/>
      <x:c r="C3" s="36"/>
      <x:c r="D3" s="36"/>
      <x:c r="E3" s="36"/>
      <x:c r="F3" s="36"/>
      <x:c r="G3" s="36"/>
      <x:c r="H3" s="36"/>
      <x:c r="I3" s="36"/>
      <x:c r="J3" s="36"/>
      <x:c r="K3" s="36"/>
      <x:c r="L3" s="36"/>
      <x:c r="M3" s="36"/>
      <x:c r="N3" s="36"/>
      <x:c r="O3" s="36"/>
      <x:c r="P3" s="36"/>
      <x:c r="Q3" s="36"/>
      <x:c r="R3" s="36"/>
      <x:c r="S3" s="36"/>
      <x:c r="T3" s="36"/>
      <x:c r="U3" s="36"/>
      <x:c r="V3" s="36"/>
      <x:c r="W3" s="36"/>
    </x:row>
    <x:row r="4" ht="38" customHeight="1">
      <x:c r="A4" s="38" t="str">
        <x:v>composite_key</x:v>
      </x:c>
      <x:c r="B4" s="38" t="str">
        <x:v>company_id</x:v>
      </x:c>
      <x:c r="C4" s="38" t="str">
        <x:v>company_name</x:v>
      </x:c>
      <x:c r="D4" s="38" t="str">
        <x:v>variable_id</x:v>
      </x:c>
      <x:c r="E4" s="38" t="str">
        <x:v>variable_name</x:v>
      </x:c>
      <x:c r="F4" s="38" t="str">
        <x:v>construct</x:v>
      </x:c>
      <x:c r="G4" s="38" t="str">
        <x:v>priority</x:v>
      </x:c>
      <x:c r="H4" s="38" t="str">
        <x:v>value_type</x:v>
      </x:c>
      <x:c r="I4" s="38" t="str">
        <x:v>unit</x:v>
      </x:c>
      <x:c r="J4" s="38" t="str">
        <x:v>final_data_layer</x:v>
      </x:c>
      <x:c r="K4" s="38" t="str">
        <x:v>original_status</x:v>
      </x:c>
      <x:c r="L4" s="38" t="str">
        <x:v>final_value</x:v>
      </x:c>
      <x:c r="M4" s="38" t="str">
        <x:v>final_status</x:v>
      </x:c>
      <x:c r="N4" s="38" t="str">
        <x:v>reason_code</x:v>
      </x:c>
      <x:c r="O4" s="38" t="str">
        <x:v>reason_text</x:v>
      </x:c>
      <x:c r="P4" s="38" t="str">
        <x:v>explicit_zero_flag</x:v>
      </x:c>
      <x:c r="Q4" s="38" t="str">
        <x:v>warning_code</x:v>
      </x:c>
      <x:c r="R4" s="38" t="str">
        <x:v>warning_text</x:v>
      </x:c>
      <x:c r="S4" s="38" t="str">
        <x:v>calculation_note</x:v>
      </x:c>
      <x:c r="T4" s="38" t="str">
        <x:v>source_records</x:v>
      </x:c>
      <x:c r="U4" s="38" t="str">
        <x:v>repair_stage</x:v>
      </x:c>
      <x:c r="V4" s="38" t="str">
        <x:v>freeze_decision</x:v>
      </x:c>
      <x:c r="W4" s="38" t="str">
        <x:v>warning_flag</x:v>
      </x:c>
    </x:row>
    <x:row r="5" ht="52" customHeight="1">
      <x:c r="A5" s="24" t="str">
        <x:v>301563|CV001</x:v>
      </x:c>
      <x:c r="B5" s="24" t="str">
        <x:v>301563</x:v>
      </x:c>
      <x:c r="C5" s="24" t="str">
        <x:v>云汉芯城</x:v>
      </x:c>
      <x:c r="D5" s="24" t="str">
        <x:v>CV001</x:v>
      </x:c>
      <x:c r="E5" s="24" t="str">
        <x:v>上市前直接股权融资发生标记</x:v>
      </x:c>
      <x:c r="F5" s="24" t="str">
        <x:v>融资经历</x:v>
      </x:c>
      <x:c r="G5" s="24" t="str">
        <x:v>A核心</x:v>
      </x:c>
      <x:c r="H5" s="24" t="str">
        <x:v>BINARY</x:v>
      </x:c>
      <x:c r="I5" s="24" t="str">
        <x:v>0/1</x:v>
      </x:c>
      <x:c r="J5" s="24" t="str">
        <x:v>研究判断派生</x:v>
      </x:c>
      <x:c r="K5" s="24" t="str">
        <x:v>VALID</x:v>
      </x:c>
      <x:c r="L5" s="24" t="n">
        <x:v>1</x:v>
      </x:c>
      <x:c r="M5" s="24" t="str">
        <x:v>VALID</x:v>
      </x:c>
      <x:c r="N5" s="24" t="str">
        <x:v>OBSERVED_OR_CALCULATED</x:v>
      </x:c>
      <x:c r="O5" s="24" t="str">
        <x:v>符合Stage 3计算门槛。</x:v>
      </x:c>
      <x:c r="P5" s="24" t="n">
        <x:v>0</x:v>
      </x:c>
      <x:c r="Q5" s="24"/>
      <x:c r="R5" s="24"/>
      <x:c r="S5" s="24" t="str">
        <x:v>financing_round_count=7，据此生成二元标记。</x:v>
      </x:c>
      <x:c r="T5" s="24" t="str">
        <x:v>companies:301563</x:v>
      </x:c>
      <x:c r="U5" s="24"/>
      <x:c r="V5" s="24" t="str">
        <x:v>FROZEN_UNCHANGED</x:v>
      </x:c>
      <x:c r="W5" s="24" t="n">
        <x:v>0</x:v>
      </x:c>
    </x:row>
    <x:row r="6" ht="52" customHeight="1">
      <x:c r="A6" s="24" t="str">
        <x:v>301563|CV002</x:v>
      </x:c>
      <x:c r="B6" s="24" t="str">
        <x:v>301563</x:v>
      </x:c>
      <x:c r="C6" s="24" t="str">
        <x:v>云汉芯城</x:v>
      </x:c>
      <x:c r="D6" s="24" t="str">
        <x:v>CV002</x:v>
      </x:c>
      <x:c r="E6" s="24" t="str">
        <x:v>上市前直接股权融资轮数</x:v>
      </x:c>
      <x:c r="F6" s="24" t="str">
        <x:v>融资频度</x:v>
      </x:c>
      <x:c r="G6" s="24" t="str">
        <x:v>A核心</x:v>
      </x:c>
      <x:c r="H6" s="24" t="str">
        <x:v>INTEGER</x:v>
      </x:c>
      <x:c r="I6" s="24" t="str">
        <x:v>轮</x:v>
      </x:c>
      <x:c r="J6" s="24" t="str">
        <x:v>研究判断</x:v>
      </x:c>
      <x:c r="K6" s="24" t="str">
        <x:v>VALID</x:v>
      </x:c>
      <x:c r="L6" s="24" t="n">
        <x:v>7</x:v>
      </x:c>
      <x:c r="M6" s="24" t="str">
        <x:v>VALID</x:v>
      </x:c>
      <x:c r="N6" s="24" t="str">
        <x:v>OBSERVED_OR_CALCULATED</x:v>
      </x:c>
      <x:c r="O6" s="24" t="str">
        <x:v>符合Stage 3计算门槛。</x:v>
      </x:c>
      <x:c r="P6" s="24" t="n">
        <x:v>0</x:v>
      </x:c>
      <x:c r="Q6" s="24"/>
      <x:c r="R6" s="24"/>
      <x:c r="S6" s="24" t="str">
        <x:v>公司冻结轮次=7；事件层TRUE计数=7。</x:v>
      </x:c>
      <x:c r="T6" s="24" t="str">
        <x:v>companies:301563; CE-002-02; CE-004; CE-005; CE-007; CE-012; CE-013-01; CE-010-01</x:v>
      </x:c>
      <x:c r="U6" s="24"/>
      <x:c r="V6" s="24" t="str">
        <x:v>FROZEN_UNCHANGED</x:v>
      </x:c>
      <x:c r="W6" s="24" t="n">
        <x:v>0</x:v>
      </x:c>
    </x:row>
    <x:row r="7" ht="52" customHeight="1">
      <x:c r="A7" s="24" t="str">
        <x:v>301563|CV003</x:v>
      </x:c>
      <x:c r="B7" s="24" t="str">
        <x:v>301563</x:v>
      </x:c>
      <x:c r="C7" s="24" t="str">
        <x:v>云汉芯城</x:v>
      </x:c>
      <x:c r="D7" s="24" t="str">
        <x:v>CV003</x:v>
      </x:c>
      <x:c r="E7" s="24" t="str">
        <x:v>可核验融资金额下限</x:v>
      </x:c>
      <x:c r="F7" s="24" t="str">
        <x:v>融资规模</x:v>
      </x:c>
      <x:c r="G7" s="24" t="str">
        <x:v>A核心</x:v>
      </x:c>
      <x:c r="H7" s="24" t="str">
        <x:v>CONTINUOUS</x:v>
      </x:c>
      <x:c r="I7" s="24" t="str">
        <x:v>万元人民币</x:v>
      </x:c>
      <x:c r="J7" s="24" t="str">
        <x:v>标准化值+计算值</x:v>
      </x:c>
      <x:c r="K7" s="24" t="str">
        <x:v>VALID</x:v>
      </x:c>
      <x:c r="L7" s="24" t="n">
        <x:v>27120</x:v>
      </x:c>
      <x:c r="M7" s="24" t="str">
        <x:v>VALID</x:v>
      </x:c>
      <x:c r="N7" s="24" t="str">
        <x:v>OBSERVED_OR_CALCULATED</x:v>
      </x:c>
      <x:c r="O7" s="24" t="str">
        <x:v>符合Stage 3计算门槛。</x:v>
      </x:c>
      <x:c r="P7" s="24" t="n">
        <x:v>0</x:v>
      </x:c>
      <x:c r="Q7" s="24"/>
      <x:c r="R7" s="24"/>
      <x:c r="S7" s="24" t="str">
        <x:v>读取公司层冻结金额；状态=KNOWN_LOWER_BOUND。</x:v>
      </x:c>
      <x:c r="T7" s="24" t="str">
        <x:v>companies:301563</x:v>
      </x:c>
      <x:c r="U7" s="24"/>
      <x:c r="V7" s="24" t="str">
        <x:v>FROZEN_UNCHANGED</x:v>
      </x:c>
      <x:c r="W7" s="24" t="n">
        <x:v>0</x:v>
      </x:c>
    </x:row>
    <x:row r="8" ht="52" customHeight="1">
      <x:c r="A8" s="24" t="str">
        <x:v>301563|CV004</x:v>
      </x:c>
      <x:c r="B8" s="24" t="str">
        <x:v>301563</x:v>
      </x:c>
      <x:c r="C8" s="24" t="str">
        <x:v>云汉芯城</x:v>
      </x:c>
      <x:c r="D8" s="24" t="str">
        <x:v>CV004</x:v>
      </x:c>
      <x:c r="E8" s="24" t="str">
        <x:v>融资金额下限对数</x:v>
      </x:c>
      <x:c r="F8" s="24" t="str">
        <x:v>融资规模</x:v>
      </x:c>
      <x:c r="G8" s="24" t="str">
        <x:v>B扩展</x:v>
      </x:c>
      <x:c r="H8" s="24" t="str">
        <x:v>CONTINUOUS</x:v>
      </x:c>
      <x:c r="I8" s="24" t="str">
        <x:v>ln(1+万元)</x:v>
      </x:c>
      <x:c r="J8" s="24" t="str">
        <x:v>计算值</x:v>
      </x:c>
      <x:c r="K8" s="24" t="str">
        <x:v>VALID</x:v>
      </x:c>
      <x:c r="L8" s="24" t="n">
        <x:v>10.208063614530875</x:v>
      </x:c>
      <x:c r="M8" s="24" t="str">
        <x:v>VALID</x:v>
      </x:c>
      <x:c r="N8" s="24" t="str">
        <x:v>OBSERVED_OR_CALCULATED</x:v>
      </x:c>
      <x:c r="O8" s="24" t="str">
        <x:v>符合Stage 3计算门槛。</x:v>
      </x:c>
      <x:c r="P8" s="24" t="n">
        <x:v>0</x:v>
      </x:c>
      <x:c r="Q8" s="24"/>
      <x:c r="R8" s="24"/>
      <x:c r="S8" s="24" t="str">
        <x:v>LN(1+公司层融资金额下限)。</x:v>
      </x:c>
      <x:c r="T8" s="24" t="str">
        <x:v>companies:301563</x:v>
      </x:c>
      <x:c r="U8" s="24"/>
      <x:c r="V8" s="24" t="str">
        <x:v>FROZEN_UNCHANGED</x:v>
      </x:c>
      <x:c r="W8" s="24" t="n">
        <x:v>0</x:v>
      </x:c>
    </x:row>
    <x:row r="9" ht="52" customHeight="1">
      <x:c r="A9" s="24" t="str">
        <x:v>301563|CV005</x:v>
      </x:c>
      <x:c r="B9" s="24" t="str">
        <x:v>301563</x:v>
      </x:c>
      <x:c r="C9" s="24" t="str">
        <x:v>云汉芯城</x:v>
      </x:c>
      <x:c r="D9" s="24" t="str">
        <x:v>CV005</x:v>
      </x:c>
      <x:c r="E9" s="24" t="str">
        <x:v>已知金额轮次均值</x:v>
      </x:c>
      <x:c r="F9" s="24" t="str">
        <x:v>单轮融资规模</x:v>
      </x:c>
      <x:c r="G9" s="24" t="str">
        <x:v>A核心</x:v>
      </x:c>
      <x:c r="H9" s="24" t="str">
        <x:v>CONTINUOUS</x:v>
      </x:c>
      <x:c r="I9" s="24" t="str">
        <x:v>万元人民币/已知轮</x:v>
      </x:c>
      <x:c r="J9" s="24" t="str">
        <x:v>计算值</x:v>
      </x:c>
      <x:c r="K9" s="24" t="str">
        <x:v>VALID</x:v>
      </x:c>
      <x:c r="L9" s="24" t="n">
        <x:v>9000</x:v>
      </x:c>
      <x:c r="M9" s="24" t="str">
        <x:v>VALID</x:v>
      </x:c>
      <x:c r="N9" s="24" t="str">
        <x:v>OBSERVED_OR_CALCULATED</x:v>
      </x:c>
      <x:c r="O9" s="24" t="str">
        <x:v>符合Stage 3计算门槛。</x:v>
      </x:c>
      <x:c r="P9" s="24" t="n">
        <x:v>0</x:v>
      </x:c>
      <x:c r="Q9" s="24"/>
      <x:c r="R9" s="24"/>
      <x:c r="S9" s="24" t="str">
        <x:v>基于3个非null融资轮金额计算已知轮次金额均值。</x:v>
      </x:c>
      <x:c r="T9" s="24" t="str">
        <x:v>CE-012; CE-013-01; CE-010-01</x:v>
      </x:c>
      <x:c r="U9" s="24"/>
      <x:c r="V9" s="24" t="str">
        <x:v>FROZEN_UNCHANGED</x:v>
      </x:c>
      <x:c r="W9" s="24" t="n">
        <x:v>0</x:v>
      </x:c>
    </x:row>
    <x:row r="10" ht="52" customHeight="1">
      <x:c r="A10" s="24" t="str">
        <x:v>301563|CV006</x:v>
      </x:c>
      <x:c r="B10" s="24" t="str">
        <x:v>301563</x:v>
      </x:c>
      <x:c r="C10" s="24" t="str">
        <x:v>云汉芯城</x:v>
      </x:c>
      <x:c r="D10" s="24" t="str">
        <x:v>CV006</x:v>
      </x:c>
      <x:c r="E10" s="24" t="str">
        <x:v>已知金额轮次中位数</x:v>
      </x:c>
      <x:c r="F10" s="24" t="str">
        <x:v>单轮融资规模</x:v>
      </x:c>
      <x:c r="G10" s="24" t="str">
        <x:v>B扩展</x:v>
      </x:c>
      <x:c r="H10" s="24" t="str">
        <x:v>CONTINUOUS</x:v>
      </x:c>
      <x:c r="I10" s="24" t="str">
        <x:v>万元人民币/已知轮</x:v>
      </x:c>
      <x:c r="J10" s="24" t="str">
        <x:v>计算值</x:v>
      </x:c>
      <x:c r="K10" s="24" t="str">
        <x:v>VALID</x:v>
      </x:c>
      <x:c r="L10" s="24" t="n">
        <x:v>7000</x:v>
      </x:c>
      <x:c r="M10" s="24" t="str">
        <x:v>VALID</x:v>
      </x:c>
      <x:c r="N10" s="24" t="str">
        <x:v>OBSERVED_OR_CALCULATED</x:v>
      </x:c>
      <x:c r="O10" s="24" t="str">
        <x:v>符合Stage 3计算门槛。</x:v>
      </x:c>
      <x:c r="P10" s="24" t="n">
        <x:v>0</x:v>
      </x:c>
      <x:c r="Q10" s="24"/>
      <x:c r="R10" s="24"/>
      <x:c r="S10" s="24" t="str">
        <x:v>基于3个非null融资轮金额计算已知轮次金额中位数。</x:v>
      </x:c>
      <x:c r="T10" s="24" t="str">
        <x:v>CE-012; CE-013-01; CE-010-01</x:v>
      </x:c>
      <x:c r="U10" s="24"/>
      <x:c r="V10" s="24" t="str">
        <x:v>FROZEN_UNCHANGED</x:v>
      </x:c>
      <x:c r="W10" s="24" t="n">
        <x:v>0</x:v>
      </x:c>
    </x:row>
    <x:row r="11" ht="52" customHeight="1">
      <x:c r="A11" s="24" t="str">
        <x:v>301563|CV007</x:v>
      </x:c>
      <x:c r="B11" s="24" t="str">
        <x:v>301563</x:v>
      </x:c>
      <x:c r="C11" s="24" t="str">
        <x:v>云汉芯城</x:v>
      </x:c>
      <x:c r="D11" s="24" t="str">
        <x:v>CV007</x:v>
      </x:c>
      <x:c r="E11" s="24" t="str">
        <x:v>最大已知单轮融资金额</x:v>
      </x:c>
      <x:c r="F11" s="24" t="str">
        <x:v>融资峰值</x:v>
      </x:c>
      <x:c r="G11" s="24" t="str">
        <x:v>B扩展</x:v>
      </x:c>
      <x:c r="H11" s="24" t="str">
        <x:v>CONTINUOUS</x:v>
      </x:c>
      <x:c r="I11" s="24" t="str">
        <x:v>万元人民币</x:v>
      </x:c>
      <x:c r="J11" s="24" t="str">
        <x:v>计算值</x:v>
      </x:c>
      <x:c r="K11" s="24" t="str">
        <x:v>VALID</x:v>
      </x:c>
      <x:c r="L11" s="24" t="n">
        <x:v>15000</x:v>
      </x:c>
      <x:c r="M11" s="24" t="str">
        <x:v>VALID</x:v>
      </x:c>
      <x:c r="N11" s="24" t="str">
        <x:v>OBSERVED_OR_CALCULATED</x:v>
      </x:c>
      <x:c r="O11" s="24" t="str">
        <x:v>符合Stage 3计算门槛。</x:v>
      </x:c>
      <x:c r="P11" s="24" t="n">
        <x:v>0</x:v>
      </x:c>
      <x:c r="Q11" s="24"/>
      <x:c r="R11" s="24"/>
      <x:c r="S11" s="24" t="str">
        <x:v>基于3个非null融资轮金额计算最大已知轮次金额。</x:v>
      </x:c>
      <x:c r="T11" s="24" t="str">
        <x:v>CE-012; CE-013-01; CE-010-01</x:v>
      </x:c>
      <x:c r="U11" s="24"/>
      <x:c r="V11" s="24" t="str">
        <x:v>FROZEN_UNCHANGED</x:v>
      </x:c>
      <x:c r="W11" s="24" t="n">
        <x:v>0</x:v>
      </x:c>
    </x:row>
    <x:row r="12" ht="52" customHeight="1">
      <x:c r="A12" s="24" t="str">
        <x:v>301563|CV008</x:v>
      </x:c>
      <x:c r="B12" s="24" t="str">
        <x:v>301563</x:v>
      </x:c>
      <x:c r="C12" s="24" t="str">
        <x:v>云汉芯城</x:v>
      </x:c>
      <x:c r="D12" s="24" t="str">
        <x:v>CV008</x:v>
      </x:c>
      <x:c r="E12" s="24" t="str">
        <x:v>最大已知轮金额占比</x:v>
      </x:c>
      <x:c r="F12" s="24" t="str">
        <x:v>融资集中度</x:v>
      </x:c>
      <x:c r="G12" s="24" t="str">
        <x:v>B扩展</x:v>
      </x:c>
      <x:c r="H12" s="24" t="str">
        <x:v>RATIO</x:v>
      </x:c>
      <x:c r="I12" s="24" t="str">
        <x:v>0–1</x:v>
      </x:c>
      <x:c r="J12" s="24" t="str">
        <x:v>计算值</x:v>
      </x:c>
      <x:c r="K12" s="24" t="str">
        <x:v>VALID</x:v>
      </x:c>
      <x:c r="L12" s="24" t="n">
        <x:v>0.5555555555555556</x:v>
      </x:c>
      <x:c r="M12" s="24" t="str">
        <x:v>VALID</x:v>
      </x:c>
      <x:c r="N12" s="24" t="str">
        <x:v>OBSERVED_OR_CALCULATED</x:v>
      </x:c>
      <x:c r="O12" s="24" t="str">
        <x:v>符合Stage 3计算门槛。</x:v>
      </x:c>
      <x:c r="P12" s="24" t="n">
        <x:v>0</x:v>
      </x:c>
      <x:c r="Q12" s="24"/>
      <x:c r="R12" s="24"/>
      <x:c r="S12" s="24" t="str">
        <x:v>最大已知轮金额/已知事件锚点金额合计。</x:v>
      </x:c>
      <x:c r="T12" s="24" t="str">
        <x:v>CE-012; CE-013-01; CE-010-01</x:v>
      </x:c>
      <x:c r="U12" s="24"/>
      <x:c r="V12" s="24" t="str">
        <x:v>FROZEN_UNCHANGED</x:v>
      </x:c>
      <x:c r="W12" s="24" t="n">
        <x:v>0</x:v>
      </x:c>
    </x:row>
    <x:row r="13" ht="52" customHeight="1">
      <x:c r="A13" s="24" t="str">
        <x:v>301563|CV009</x:v>
      </x:c>
      <x:c r="B13" s="24" t="str">
        <x:v>301563</x:v>
      </x:c>
      <x:c r="C13" s="24" t="str">
        <x:v>云汉芯城</x:v>
      </x:c>
      <x:c r="D13" s="24" t="str">
        <x:v>CV009</x:v>
      </x:c>
      <x:c r="E13" s="24" t="str">
        <x:v>融资时间跨度</x:v>
      </x:c>
      <x:c r="F13" s="24" t="str">
        <x:v>融资节奏</x:v>
      </x:c>
      <x:c r="G13" s="24" t="str">
        <x:v>A核心</x:v>
      </x:c>
      <x:c r="H13" s="24" t="str">
        <x:v>CONTINUOUS</x:v>
      </x:c>
      <x:c r="I13" s="24" t="str">
        <x:v>月</x:v>
      </x:c>
      <x:c r="J13" s="24" t="str">
        <x:v>计算值</x:v>
      </x:c>
      <x:c r="K13" s="24" t="str">
        <x:v>VALID</x:v>
      </x:c>
      <x:c r="L13" s="24" t="n">
        <x:v>129</x:v>
      </x:c>
      <x:c r="M13" s="24" t="str">
        <x:v>VALID</x:v>
      </x:c>
      <x:c r="N13" s="24" t="str">
        <x:v>OBSERVED_OR_CALCULATED</x:v>
      </x:c>
      <x:c r="O13" s="24" t="str">
        <x:v>符合Stage 3计算门槛。</x:v>
      </x:c>
      <x:c r="P13" s="24" t="n">
        <x:v>0</x:v>
      </x:c>
      <x:c r="Q13" s="24"/>
      <x:c r="R13" s="24"/>
      <x:c r="S13" s="24" t="str">
        <x:v>使用6个可用年月计算最晚减最早。</x:v>
      </x:c>
      <x:c r="T13" s="24" t="str">
        <x:v>CE-002-02; CE-004; CE-005; CE-007; CE-012; CE-013-01</x:v>
      </x:c>
      <x:c r="U13" s="24"/>
      <x:c r="V13" s="24" t="str">
        <x:v>FROZEN_UNCHANGED</x:v>
      </x:c>
      <x:c r="W13" s="24" t="n">
        <x:v>0</x:v>
      </x:c>
    </x:row>
    <x:row r="14" ht="52" customHeight="1">
      <x:c r="A14" s="24" t="str">
        <x:v>301563|CV010</x:v>
      </x:c>
      <x:c r="B14" s="24" t="str">
        <x:v>301563</x:v>
      </x:c>
      <x:c r="C14" s="24" t="str">
        <x:v>云汉芯城</x:v>
      </x:c>
      <x:c r="D14" s="24" t="str">
        <x:v>CV010</x:v>
      </x:c>
      <x:c r="E14" s="24" t="str">
        <x:v>融资轮次间隔中位数</x:v>
      </x:c>
      <x:c r="F14" s="24" t="str">
        <x:v>融资节奏</x:v>
      </x:c>
      <x:c r="G14" s="24" t="str">
        <x:v>B扩展</x:v>
      </x:c>
      <x:c r="H14" s="24" t="str">
        <x:v>CONTINUOUS</x:v>
      </x:c>
      <x:c r="I14" s="24" t="str">
        <x:v>月</x:v>
      </x:c>
      <x:c r="J14" s="24" t="str">
        <x:v>计算值</x:v>
      </x:c>
      <x:c r="K14" s="24" t="str">
        <x:v>VALID</x:v>
      </x:c>
      <x:c r="L14" s="24" t="n">
        <x:v>7</x:v>
      </x:c>
      <x:c r="M14" s="24" t="str">
        <x:v>VALID</x:v>
      </x:c>
      <x:c r="N14" s="24" t="str">
        <x:v>OBSERVED_OR_CALCULATED</x:v>
      </x:c>
      <x:c r="O14" s="24" t="str">
        <x:v>符合Stage 3计算门槛。</x:v>
      </x:c>
      <x:c r="P14" s="24" t="n">
        <x:v>0</x:v>
      </x:c>
      <x:c r="Q14" s="24"/>
      <x:c r="R14" s="24"/>
      <x:c r="S14" s="24" t="str">
        <x:v>对5个相邻月份差取中位数。</x:v>
      </x:c>
      <x:c r="T14" s="24" t="str">
        <x:v>CE-002-02; CE-004; CE-005; CE-007; CE-012; CE-013-01</x:v>
      </x:c>
      <x:c r="U14" s="24"/>
      <x:c r="V14" s="24" t="str">
        <x:v>FROZEN_UNCHANGED</x:v>
      </x:c>
      <x:c r="W14" s="24" t="n">
        <x:v>0</x:v>
      </x:c>
    </x:row>
    <x:row r="15" ht="52" customHeight="1">
      <x:c r="A15" s="24" t="str">
        <x:v>301563|CV011</x:v>
      </x:c>
      <x:c r="B15" s="24" t="str">
        <x:v>301563</x:v>
      </x:c>
      <x:c r="C15" s="24" t="str">
        <x:v>云汉芯城</x:v>
      </x:c>
      <x:c r="D15" s="24" t="str">
        <x:v>CV011</x:v>
      </x:c>
      <x:c r="E15" s="24" t="str">
        <x:v>确认PE/VC参与标记</x:v>
      </x:c>
      <x:c r="F15" s="24" t="str">
        <x:v>PEVC参与</x:v>
      </x:c>
      <x:c r="G15" s="24" t="str">
        <x:v>A核心</x:v>
      </x:c>
      <x:c r="H15" s="24" t="str">
        <x:v>BINARY</x:v>
      </x:c>
      <x:c r="I15" s="24" t="str">
        <x:v>0/1</x:v>
      </x:c>
      <x:c r="J15" s="24" t="str">
        <x:v>研究判断派生</x:v>
      </x:c>
      <x:c r="K15" s="24" t="str">
        <x:v>VALID</x:v>
      </x:c>
      <x:c r="L15" s="24" t="n">
        <x:v>1</x:v>
      </x:c>
      <x:c r="M15" s="24" t="str">
        <x:v>VALID</x:v>
      </x:c>
      <x:c r="N15" s="24" t="str">
        <x:v>OBSERVED_OR_CALCULATED</x:v>
      </x:c>
      <x:c r="O15" s="24" t="str">
        <x:v>符合Stage 3计算门槛。</x:v>
      </x:c>
      <x:c r="P15" s="24" t="n">
        <x:v>0</x:v>
      </x:c>
      <x:c r="Q15" s="24"/>
      <x:c r="R15" s="24"/>
      <x:c r="S15" s="24" t="str">
        <x:v>confirmed_pevc_legal_entity_count=12。</x:v>
      </x:c>
      <x:c r="T15" s="24" t="str">
        <x:v>companies:301563</x:v>
      </x:c>
      <x:c r="U15" s="24"/>
      <x:c r="V15" s="24" t="str">
        <x:v>FROZEN_UNCHANGED</x:v>
      </x:c>
      <x:c r="W15" s="24" t="n">
        <x:v>0</x:v>
      </x:c>
    </x:row>
    <x:row r="16" ht="52" customHeight="1">
      <x:c r="A16" s="24" t="str">
        <x:v>301563|CV012</x:v>
      </x:c>
      <x:c r="B16" s="24" t="str">
        <x:v>301563</x:v>
      </x:c>
      <x:c r="C16" s="24" t="str">
        <x:v>云汉芯城</x:v>
      </x:c>
      <x:c r="D16" s="24" t="str">
        <x:v>CV012</x:v>
      </x:c>
      <x:c r="E16" s="24" t="str">
        <x:v>确认PE/VC法律主体数</x:v>
      </x:c>
      <x:c r="F16" s="24" t="str">
        <x:v>PEVC参与</x:v>
      </x:c>
      <x:c r="G16" s="24" t="str">
        <x:v>A核心</x:v>
      </x:c>
      <x:c r="H16" s="24" t="str">
        <x:v>INTEGER</x:v>
      </x:c>
      <x:c r="I16" s="24" t="str">
        <x:v>个</x:v>
      </x:c>
      <x:c r="J16" s="24" t="str">
        <x:v>计算值+研究判断</x:v>
      </x:c>
      <x:c r="K16" s="24" t="str">
        <x:v>VALID</x:v>
      </x:c>
      <x:c r="L16" s="24" t="n">
        <x:v>12</x:v>
      </x:c>
      <x:c r="M16" s="24" t="str">
        <x:v>VALID</x:v>
      </x:c>
      <x:c r="N16" s="24" t="str">
        <x:v>OBSERVED_OR_CALCULATED</x:v>
      </x:c>
      <x:c r="O16" s="24" t="str">
        <x:v>符合Stage 3计算门槛。</x:v>
      </x:c>
      <x:c r="P16" s="24" t="n">
        <x:v>0</x:v>
      </x:c>
      <x:c r="Q16" s="24"/>
      <x:c r="R16" s="24"/>
      <x:c r="S16" s="24" t="str">
        <x:v>读取公司层冻结确认PE/VC法律主体数。</x:v>
      </x:c>
      <x:c r="T16" s="24" t="str">
        <x:v>companies:301563</x:v>
      </x:c>
      <x:c r="U16" s="24"/>
      <x:c r="V16" s="24" t="str">
        <x:v>FROZEN_UNCHANGED</x:v>
      </x:c>
      <x:c r="W16" s="24" t="n">
        <x:v>0</x:v>
      </x:c>
    </x:row>
    <x:row r="17" ht="52" customHeight="1">
      <x:c r="A17" s="24" t="str">
        <x:v>301563|CV013</x:v>
      </x:c>
      <x:c r="B17" s="24" t="str">
        <x:v>301563</x:v>
      </x:c>
      <x:c r="C17" s="24" t="str">
        <x:v>云汉芯城</x:v>
      </x:c>
      <x:c r="D17" s="24" t="str">
        <x:v>CV013</x:v>
      </x:c>
      <x:c r="E17" s="24" t="str">
        <x:v>确认PE/VC占直接主体比重</x:v>
      </x:c>
      <x:c r="F17" s="24" t="str">
        <x:v>PEVC参与</x:v>
      </x:c>
      <x:c r="G17" s="24" t="str">
        <x:v>B扩展</x:v>
      </x:c>
      <x:c r="H17" s="24" t="str">
        <x:v>RATIO</x:v>
      </x:c>
      <x:c r="I17" s="24" t="str">
        <x:v>0–1</x:v>
      </x:c>
      <x:c r="J17" s="24" t="str">
        <x:v>计算值+研究判断</x:v>
      </x:c>
      <x:c r="K17" s="24" t="str">
        <x:v>VALID</x:v>
      </x:c>
      <x:c r="L17" s="24" t="n">
        <x:v>0.34285714285714286</x:v>
      </x:c>
      <x:c r="M17" s="24" t="str">
        <x:v>VALID</x:v>
      </x:c>
      <x:c r="N17" s="24" t="str">
        <x:v>OBSERVED_OR_CALCULATED</x:v>
      </x:c>
      <x:c r="O17" s="24" t="str">
        <x:v>符合Stage 3计算门槛。</x:v>
      </x:c>
      <x:c r="P17" s="24" t="n">
        <x:v>0</x:v>
      </x:c>
      <x:c r="Q17" s="24"/>
      <x:c r="R17" s="24"/>
      <x:c r="S17" s="24" t="str">
        <x:v>确认PE/VC法律主体数/直接参与法律主体数。</x:v>
      </x:c>
      <x:c r="T17" s="24" t="str">
        <x:v>companies:301563</x:v>
      </x:c>
      <x:c r="U17" s="24"/>
      <x:c r="V17" s="24" t="str">
        <x:v>FROZEN_UNCHANGED</x:v>
      </x:c>
      <x:c r="W17" s="24" t="n">
        <x:v>0</x:v>
      </x:c>
    </x:row>
    <x:row r="18" ht="52" customHeight="1">
      <x:c r="A18" s="24" t="str">
        <x:v>301563|CV014</x:v>
      </x:c>
      <x:c r="B18" s="24" t="str">
        <x:v>301563</x:v>
      </x:c>
      <x:c r="C18" s="24" t="str">
        <x:v>云汉芯城</x:v>
      </x:c>
      <x:c r="D18" s="24" t="str">
        <x:v>CV014</x:v>
      </x:c>
      <x:c r="E18" s="24" t="str">
        <x:v>确认PE/VC参与融资轮数</x:v>
      </x:c>
      <x:c r="F18" s="24" t="str">
        <x:v>PEVC参与深度</x:v>
      </x:c>
      <x:c r="G18" s="24" t="str">
        <x:v>B扩展</x:v>
      </x:c>
      <x:c r="H18" s="24" t="str">
        <x:v>INTEGER</x:v>
      </x:c>
      <x:c r="I18" s="24" t="str">
        <x:v>轮</x:v>
      </x:c>
      <x:c r="J18" s="24" t="str">
        <x:v>研究判断派生</x:v>
      </x:c>
      <x:c r="K18" s="24" t="str">
        <x:v>VALID</x:v>
      </x:c>
      <x:c r="L18" s="24" t="n">
        <x:v>5</x:v>
      </x:c>
      <x:c r="M18" s="24" t="str">
        <x:v>VALID</x:v>
      </x:c>
      <x:c r="N18" s="24" t="str">
        <x:v>OBSERVED_OR_CALCULATED</x:v>
      </x:c>
      <x:c r="O18" s="24" t="str">
        <x:v>符合Stage 3计算门槛。</x:v>
      </x:c>
      <x:c r="P18" s="24" t="n">
        <x:v>0</x:v>
      </x:c>
      <x:c r="Q18" s="24"/>
      <x:c r="R18" s="24"/>
      <x:c r="S18" s="24" t="str">
        <x:v>连接融资轮→交易→party→PEVC_CONFIRMED，并按event_id去重。</x:v>
      </x:c>
      <x:c r="T18" s="24" t="str">
        <x:v>TRX-301563-INC-002-P02; TRX-301563-INC-002-P03; TRX-301563-INC-003-P02; TRX-301563-INC-003-P03; TRX-301563-INC-005-P05; TRX-301563-INC-005-P06; TRX-301563-INC-006-P01; TRX-301563-INC-006-P03; TRX-301563-INC-006-P05; TRX-301563-INC-006-P06; TRX-301563-INC-009-P02</x:v>
      </x:c>
      <x:c r="U18" s="24"/>
      <x:c r="V18" s="24" t="str">
        <x:v>FROZEN_UNCHANGED</x:v>
      </x:c>
      <x:c r="W18" s="24" t="n">
        <x:v>0</x:v>
      </x:c>
    </x:row>
    <x:row r="19" ht="52" customHeight="1">
      <x:c r="A19" s="24" t="str">
        <x:v>301563|CV015</x:v>
      </x:c>
      <x:c r="B19" s="24" t="str">
        <x:v>301563</x:v>
      </x:c>
      <x:c r="C19" s="24" t="str">
        <x:v>云汉芯城</x:v>
      </x:c>
      <x:c r="D19" s="24" t="str">
        <x:v>CV015</x:v>
      </x:c>
      <x:c r="E19" s="24" t="str">
        <x:v>首次确认PE/VC进入日期</x:v>
      </x:c>
      <x:c r="F19" s="24" t="str">
        <x:v>PEVC进入时点</x:v>
      </x:c>
      <x:c r="G19" s="24" t="str">
        <x:v>A核心</x:v>
      </x:c>
      <x:c r="H19" s="24" t="str">
        <x:v>DATE_OR_MONTH</x:v>
      </x:c>
      <x:c r="I19" s="24" t="str">
        <x:v>日期或年月</x:v>
      </x:c>
      <x:c r="J19" s="24" t="str">
        <x:v>研究判断派生</x:v>
      </x:c>
      <x:c r="K19" s="24" t="str">
        <x:v>VALID</x:v>
      </x:c>
      <x:c r="L19" s="24" t="str">
        <x:v>2014-08</x:v>
      </x:c>
      <x:c r="M19" s="24" t="str">
        <x:v>VALID</x:v>
      </x:c>
      <x:c r="N19" s="24" t="str">
        <x:v>OBSERVED_OR_CALCULATED</x:v>
      </x:c>
      <x:c r="O19" s="24" t="str">
        <x:v>符合Stage 3计算门槛。</x:v>
      </x:c>
      <x:c r="P19" s="24" t="n">
        <x:v>0</x:v>
      </x:c>
      <x:c r="Q19" s="24"/>
      <x:c r="R19" s="24"/>
      <x:c r="S19" s="24" t="str">
        <x:v>在确认PE/VC路径中取最早可用日期，精度=MONTH。</x:v>
      </x:c>
      <x:c r="T19" s="24" t="str">
        <x:v>EDGE-003</x:v>
      </x:c>
      <x:c r="U19" s="24"/>
      <x:c r="V19" s="24" t="str">
        <x:v>FROZEN_UNCHANGED</x:v>
      </x:c>
      <x:c r="W19" s="24" t="n">
        <x:v>0</x:v>
      </x:c>
    </x:row>
    <x:row r="20" ht="52" customHeight="1">
      <x:c r="A20" s="24" t="str">
        <x:v>301563|CV016</x:v>
      </x:c>
      <x:c r="B20" s="24" t="str">
        <x:v>301563</x:v>
      </x:c>
      <x:c r="C20" s="24" t="str">
        <x:v>云汉芯城</x:v>
      </x:c>
      <x:c r="D20" s="24" t="str">
        <x:v>CV016</x:v>
      </x:c>
      <x:c r="E20" s="24" t="str">
        <x:v>首次确认PE/VC进入年份</x:v>
      </x:c>
      <x:c r="F20" s="24" t="str">
        <x:v>PEVC进入时点</x:v>
      </x:c>
      <x:c r="G20" s="24" t="str">
        <x:v>B扩展</x:v>
      </x:c>
      <x:c r="H20" s="24" t="str">
        <x:v>INTEGER</x:v>
      </x:c>
      <x:c r="I20" s="24" t="str">
        <x:v>年</x:v>
      </x:c>
      <x:c r="J20" s="24" t="str">
        <x:v>计算值+研究判断</x:v>
      </x:c>
      <x:c r="K20" s="24" t="str">
        <x:v>VALID</x:v>
      </x:c>
      <x:c r="L20" s="24" t="n">
        <x:v>2014</x:v>
      </x:c>
      <x:c r="M20" s="24" t="str">
        <x:v>VALID</x:v>
      </x:c>
      <x:c r="N20" s="24" t="str">
        <x:v>OBSERVED_OR_CALCULATED</x:v>
      </x:c>
      <x:c r="O20" s="24" t="str">
        <x:v>符合Stage 3计算门槛。</x:v>
      </x:c>
      <x:c r="P20" s="24" t="n">
        <x:v>0</x:v>
      </x:c>
      <x:c r="Q20" s="24"/>
      <x:c r="R20" s="24"/>
      <x:c r="S20" s="24" t="str">
        <x:v>从首次进入日期提取年份。</x:v>
      </x:c>
      <x:c r="T20" s="24" t="str">
        <x:v>EDGE-003</x:v>
      </x:c>
      <x:c r="U20" s="24"/>
      <x:c r="V20" s="24" t="str">
        <x:v>FROZEN_UNCHANGED</x:v>
      </x:c>
      <x:c r="W20" s="24" t="n">
        <x:v>0</x:v>
      </x:c>
    </x:row>
    <x:row r="21" ht="52" customHeight="1">
      <x:c r="A21" s="24" t="str">
        <x:v>301563|CV017</x:v>
      </x:c>
      <x:c r="B21" s="24" t="str">
        <x:v>301563</x:v>
      </x:c>
      <x:c r="C21" s="24" t="str">
        <x:v>云汉芯城</x:v>
      </x:c>
      <x:c r="D21" s="24" t="str">
        <x:v>CV017</x:v>
      </x:c>
      <x:c r="E21" s="24" t="str">
        <x:v>首次确认PE/VC融资轮位置</x:v>
      </x:c>
      <x:c r="F21" s="24" t="str">
        <x:v>PEVC进入时点</x:v>
      </x:c>
      <x:c r="G21" s="24" t="str">
        <x:v>B扩展</x:v>
      </x:c>
      <x:c r="H21" s="24" t="str">
        <x:v>RATIO</x:v>
      </x:c>
      <x:c r="I21" s="24" t="str">
        <x:v>0–1</x:v>
      </x:c>
      <x:c r="J21" s="24" t="str">
        <x:v>研究判断派生</x:v>
      </x:c>
      <x:c r="K21" s="24" t="str">
        <x:v>VALID</x:v>
      </x:c>
      <x:c r="L21" s="24" t="n">
        <x:v>0.2857142857142857</x:v>
      </x:c>
      <x:c r="M21" s="24" t="str">
        <x:v>VALID</x:v>
      </x:c>
      <x:c r="N21" s="24" t="str">
        <x:v>OBSERVED_OR_CALCULATED</x:v>
      </x:c>
      <x:c r="O21" s="24" t="str">
        <x:v>符合Stage 3计算门槛。</x:v>
      </x:c>
      <x:c r="P21" s="24" t="n">
        <x:v>0</x:v>
      </x:c>
      <x:c r="Q21" s="24"/>
      <x:c r="R21" s="24"/>
      <x:c r="S21" s="24" t="str">
        <x:v>首次确认PE/VC融资轮序位=2，总轮数=7。</x:v>
      </x:c>
      <x:c r="T21" s="24" t="str">
        <x:v>TRX-301563-INC-002-P02; TRX-301563-INC-002-P03; TRX-301563-INC-003-P02; TRX-301563-INC-003-P03; TRX-301563-INC-005-P05; TRX-301563-INC-005-P06; TRX-301563-INC-006-P01; TRX-301563-INC-006-P03; TRX-301563-INC-006-P05; TRX-301563-INC-006-P06; TRX-301563-INC-009-P02</x:v>
      </x:c>
      <x:c r="U21" s="24"/>
      <x:c r="V21" s="24" t="str">
        <x:v>FROZEN_UNCHANGED</x:v>
      </x:c>
      <x:c r="W21" s="24" t="n">
        <x:v>0</x:v>
      </x:c>
    </x:row>
    <x:row r="22" ht="52" customHeight="1">
      <x:c r="A22" s="24" t="str">
        <x:v>301563|CV018</x:v>
      </x:c>
      <x:c r="B22" s="24" t="str">
        <x:v>301563</x:v>
      </x:c>
      <x:c r="C22" s="24" t="str">
        <x:v>云汉芯城</x:v>
      </x:c>
      <x:c r="D22" s="24" t="str">
        <x:v>CV018</x:v>
      </x:c>
      <x:c r="E22" s="24" t="str">
        <x:v>确认PE/VC间接路径标记</x:v>
      </x:c>
      <x:c r="F22" s="24" t="str">
        <x:v>投资路径复杂度</x:v>
      </x:c>
      <x:c r="G22" s="24" t="str">
        <x:v>B扩展</x:v>
      </x:c>
      <x:c r="H22" s="24" t="str">
        <x:v>BINARY</x:v>
      </x:c>
      <x:c r="I22" s="24" t="str">
        <x:v>0/1</x:v>
      </x:c>
      <x:c r="J22" s="24" t="str">
        <x:v>研究判断派生</x:v>
      </x:c>
      <x:c r="K22" s="24" t="str">
        <x:v>VALID</x:v>
      </x:c>
      <x:c r="L22" s="24" t="n">
        <x:v>1</x:v>
      </x:c>
      <x:c r="M22" s="24" t="str">
        <x:v>VALID</x:v>
      </x:c>
      <x:c r="N22" s="24" t="str">
        <x:v>OBSERVED_OR_CALCULATED</x:v>
      </x:c>
      <x:c r="O22" s="24" t="str">
        <x:v>符合Stage 3计算门槛。</x:v>
      </x:c>
      <x:c r="P22" s="24" t="n">
        <x:v>0</x:v>
      </x:c>
      <x:c r="Q22" s="24"/>
      <x:c r="R22" s="24"/>
      <x:c r="S22" s="24" t="str">
        <x:v>检查确认路径中与PEVC_CONFIRMED相关的INDIRECT边。</x:v>
      </x:c>
      <x:c r="T22" s="24" t="str">
        <x:v>EDGE-056; EDGE-058; EDGE-059; EDGE-060; EDGE-061; EDGE-062; EDGE-063; EDGE-064; EDGE-065</x:v>
      </x:c>
      <x:c r="U22" s="24"/>
      <x:c r="V22" s="24" t="str">
        <x:v>FROZEN_UNCHANGED</x:v>
      </x:c>
      <x:c r="W22" s="24" t="n">
        <x:v>0</x:v>
      </x:c>
    </x:row>
    <x:row r="23" ht="52" customHeight="1">
      <x:c r="A23" s="24" t="str">
        <x:v>301563|CV019</x:v>
      </x:c>
      <x:c r="B23" s="24" t="str">
        <x:v>301563</x:v>
      </x:c>
      <x:c r="C23" s="24" t="str">
        <x:v>云汉芯城</x:v>
      </x:c>
      <x:c r="D23" s="24" t="str">
        <x:v>CV019</x:v>
      </x:c>
      <x:c r="E23" s="24" t="str">
        <x:v>确认PE/VC进入方式多样性</x:v>
      </x:c>
      <x:c r="F23" s="24" t="str">
        <x:v>PEVC进入方式</x:v>
      </x:c>
      <x:c r="G23" s="24" t="str">
        <x:v>B扩展</x:v>
      </x:c>
      <x:c r="H23" s="24" t="str">
        <x:v>INTEGER</x:v>
      </x:c>
      <x:c r="I23" s="24" t="str">
        <x:v>种</x:v>
      </x:c>
      <x:c r="J23" s="24" t="str">
        <x:v>研究判断派生</x:v>
      </x:c>
      <x:c r="K23" s="24" t="str">
        <x:v>VALID</x:v>
      </x:c>
      <x:c r="L23" s="24" t="n">
        <x:v>2</x:v>
      </x:c>
      <x:c r="M23" s="24" t="str">
        <x:v>VALID</x:v>
      </x:c>
      <x:c r="N23" s="24" t="str">
        <x:v>OBSERVED_OR_CALCULATED</x:v>
      </x:c>
      <x:c r="O23" s="24" t="str">
        <x:v>符合Stage 3计算门槛。</x:v>
      </x:c>
      <x:c r="P23" s="24" t="n">
        <x:v>0</x:v>
      </x:c>
      <x:c r="Q23" s="24"/>
      <x:c r="R23" s="24"/>
      <x:c r="S23" s="24" t="str">
        <x:v>确认PE/VC路径非空进入方式=['CAPITAL_INCREASE_ENTRY', 'TRANSFER_ENTRY']。</x:v>
      </x:c>
      <x:c r="T23" s="24" t="str">
        <x:v>EDGE-024; EDGE-036; EDGE-037; EDGE-039; EDGE-040; EDGE-045; EDGE-046; EDGE-047; EDGE-049; EDGE-051; EDGE-052; EDGE-055</x:v>
      </x:c>
      <x:c r="U23" s="24"/>
      <x:c r="V23" s="24" t="str">
        <x:v>FROZEN_UNCHANGED</x:v>
      </x:c>
      <x:c r="W23" s="24" t="n">
        <x:v>0</x:v>
      </x:c>
    </x:row>
    <x:row r="24" ht="52" customHeight="1">
      <x:c r="A24" s="24" t="str">
        <x:v>301563|CV020</x:v>
      </x:c>
      <x:c r="B24" s="24" t="str">
        <x:v>301563</x:v>
      </x:c>
      <x:c r="C24" s="24" t="str">
        <x:v>云汉芯城</x:v>
      </x:c>
      <x:c r="D24" s="24" t="str">
        <x:v>CV020</x:v>
      </x:c>
      <x:c r="E24" s="24" t="str">
        <x:v>直接参与法律主体数</x:v>
      </x:c>
      <x:c r="F24" s="24" t="str">
        <x:v>参与结构规模</x:v>
      </x:c>
      <x:c r="G24" s="24" t="str">
        <x:v>A核心</x:v>
      </x:c>
      <x:c r="H24" s="24" t="str">
        <x:v>INTEGER</x:v>
      </x:c>
      <x:c r="I24" s="24" t="str">
        <x:v>个</x:v>
      </x:c>
      <x:c r="J24" s="24" t="str">
        <x:v>计算值</x:v>
      </x:c>
      <x:c r="K24" s="24" t="str">
        <x:v>VALID</x:v>
      </x:c>
      <x:c r="L24" s="24" t="n">
        <x:v>35</x:v>
      </x:c>
      <x:c r="M24" s="24" t="str">
        <x:v>VALID</x:v>
      </x:c>
      <x:c r="N24" s="24" t="str">
        <x:v>OBSERVED_OR_CALCULATED</x:v>
      </x:c>
      <x:c r="O24" s="24" t="str">
        <x:v>符合Stage 3计算门槛。</x:v>
      </x:c>
      <x:c r="P24" s="24" t="n">
        <x:v>0</x:v>
      </x:c>
      <x:c r="Q24" s="24"/>
      <x:c r="R24" s="24"/>
      <x:c r="S24" s="24" t="str">
        <x:v>读取公司层冻结直接参与法律主体数。</x:v>
      </x:c>
      <x:c r="T24" s="24" t="str">
        <x:v>companies:301563</x:v>
      </x:c>
      <x:c r="U24" s="24"/>
      <x:c r="V24" s="24" t="str">
        <x:v>FROZEN_UNCHANGED</x:v>
      </x:c>
      <x:c r="W24" s="24" t="n">
        <x:v>0</x:v>
      </x:c>
    </x:row>
    <x:row r="25" ht="52" customHeight="1">
      <x:c r="A25" s="24" t="str">
        <x:v>301563|CV021</x:v>
      </x:c>
      <x:c r="B25" s="24" t="str">
        <x:v>301563</x:v>
      </x:c>
      <x:c r="C25" s="24" t="str">
        <x:v>云汉芯城</x:v>
      </x:c>
      <x:c r="D25" s="24" t="str">
        <x:v>CV021</x:v>
      </x:c>
      <x:c r="E25" s="24" t="str">
        <x:v>融资投资方法律主体数</x:v>
      </x:c>
      <x:c r="F25" s="24" t="str">
        <x:v>融资参与广度</x:v>
      </x:c>
      <x:c r="G25" s="24" t="str">
        <x:v>B扩展</x:v>
      </x:c>
      <x:c r="H25" s="24" t="str">
        <x:v>INTEGER</x:v>
      </x:c>
      <x:c r="I25" s="24" t="str">
        <x:v>个</x:v>
      </x:c>
      <x:c r="J25" s="24" t="str">
        <x:v>计算值+Week9补充研究层</x:v>
      </x:c>
      <x:c r="K25" s="24" t="str">
        <x:v>NOT_COMPUTABLE</x:v>
      </x:c>
      <x:c r="L25" s="24" t="n">
        <x:v>19</x:v>
      </x:c>
      <x:c r="M25" s="24" t="str">
        <x:v>VALID</x:v>
      </x:c>
      <x:c r="N25" s="24" t="str">
        <x:v>REPAIRED_AND_FROZEN_STAGE4C</x:v>
      </x:c>
      <x:c r="O25" s="24" t="str">
        <x:v>经S4B1证据闸门修复并在Stage4C冻结。</x:v>
      </x:c>
      <x:c r="P25" s="24" t="n">
        <x:v>0</x:v>
      </x:c>
      <x:c r="Q25" s="24" t="str">
        <x:v>W9_ROLE_SCOPE_MAPPING</x:v>
      </x:c>
      <x:c r="R25" s="24" t="str">
        <x:v>冻结角色SUBSCRIBER在Week9研究层映射为INVESTOR；仅用于CV021/CV022，不改写标准角色。</x:v>
      </x:c>
      <x:c r="S25" s="24" t="str">
        <x:v>纳入23条通过事件、party和证据闸门的映射记录，按canonical_entity_id优先去重为19个主体。</x:v>
      </x:c>
      <x:c r="T25" s="24" t="str">
        <x:v>MAP-301563-CV021-001; MAP-301563-CV021-002; MAP-301563-CV021-003; MAP-301563-CV021-004; MAP-301563-CV021-005; MAP-301563-CV021-006; MAP-301563-CV021-007; MAP-301563-CV021-008; MAP-301563-CV021-009; MAP-301563-CV021-010; MAP-301563-CV021-011; MAP-301563-CV021-012; MAP-301563-CV021-013; MAP-301563-CV021-014; MAP-301563-CV021-015; MAP-301563-CV021-016; MAP-301563-CV021-017; MAP-301563-CV021-018; MAP-301563-CV021-019; MAP-301563-CV021-020; MAP-301563-CV021-021; MAP-301563-CV021-022; MAP-301563-CV021-023</x:v>
      </x:c>
      <x:c r="U25" s="24" t="str">
        <x:v>S4B1</x:v>
      </x:c>
      <x:c r="V25" s="24" t="str">
        <x:v>FROZEN_REPAIRED</x:v>
      </x:c>
      <x:c r="W25" s="24" t="n">
        <x:v>1</x:v>
      </x:c>
    </x:row>
    <x:row r="26" ht="52" customHeight="1">
      <x:c r="A26" s="24" t="str">
        <x:v>301563|CV022</x:v>
      </x:c>
      <x:c r="B26" s="24" t="str">
        <x:v>301563</x:v>
      </x:c>
      <x:c r="C26" s="24" t="str">
        <x:v>云汉芯城</x:v>
      </x:c>
      <x:c r="D26" s="24" t="str">
        <x:v>CV022</x:v>
      </x:c>
      <x:c r="E26" s="24" t="str">
        <x:v>每轮融资投资方密度</x:v>
      </x:c>
      <x:c r="F26" s="24" t="str">
        <x:v>融资参与密度</x:v>
      </x:c>
      <x:c r="G26" s="24" t="str">
        <x:v>B扩展</x:v>
      </x:c>
      <x:c r="H26" s="24" t="str">
        <x:v>RATIO</x:v>
      </x:c>
      <x:c r="I26" s="24" t="str">
        <x:v>个/轮</x:v>
      </x:c>
      <x:c r="J26" s="24" t="str">
        <x:v>计算值+Week9补充研究层</x:v>
      </x:c>
      <x:c r="K26" s="24" t="str">
        <x:v>NOT_COMPUTABLE</x:v>
      </x:c>
      <x:c r="L26" s="24" t="n">
        <x:v>2.7142857142857144</x:v>
      </x:c>
      <x:c r="M26" s="24" t="str">
        <x:v>VALID</x:v>
      </x:c>
      <x:c r="N26" s="24" t="str">
        <x:v>REPAIRED_AND_FROZEN_STAGE4C</x:v>
      </x:c>
      <x:c r="O26" s="24" t="str">
        <x:v>经S4B1证据闸门修复并在Stage4C冻结。</x:v>
      </x:c>
      <x:c r="P26" s="24" t="n">
        <x:v>0</x:v>
      </x:c>
      <x:c r="Q26" s="24" t="str">
        <x:v>W9_ROLE_SCOPE_MAPPING</x:v>
      </x:c>
      <x:c r="R26" s="24" t="str">
        <x:v>冻结角色SUBSCRIBER在Week9研究层映射为INVESTOR；仅用于CV021/CV022，不改写标准角色。</x:v>
      </x:c>
      <x:c r="S26" s="24" t="str">
        <x:v>CV021修复值19/冻结融资轮数7。</x:v>
      </x:c>
      <x:c r="T26" s="24" t="str">
        <x:v>MAP-301563-CV021-001; MAP-301563-CV021-002; MAP-301563-CV021-003; MAP-301563-CV021-004; MAP-301563-CV021-005; MAP-301563-CV021-006; MAP-301563-CV021-007; MAP-301563-CV021-008; MAP-301563-CV021-009; MAP-301563-CV021-010; MAP-301563-CV021-011; MAP-301563-CV021-012; MAP-301563-CV021-013; MAP-301563-CV021-014; MAP-301563-CV021-015; MAP-301563-CV021-016; MAP-301563-CV021-017; MAP-301563-CV021-018; MAP-301563-CV021-019; MAP-301563-CV021-020; MAP-301563-CV021-021; MAP-301563-CV021-022; MAP-301563-CV021-023</x:v>
      </x:c>
      <x:c r="U26" s="24" t="str">
        <x:v>S4B1</x:v>
      </x:c>
      <x:c r="V26" s="24" t="str">
        <x:v>FROZEN_REPAIRED</x:v>
      </x:c>
      <x:c r="W26" s="24" t="n">
        <x:v>1</x:v>
      </x:c>
    </x:row>
    <x:row r="27" ht="52" customHeight="1">
      <x:c r="A27" s="24" t="str">
        <x:v>301563|CV023</x:v>
      </x:c>
      <x:c r="B27" s="24" t="str">
        <x:v>301563</x:v>
      </x:c>
      <x:c r="C27" s="24" t="str">
        <x:v>云汉芯城</x:v>
      </x:c>
      <x:c r="D27" s="24" t="str">
        <x:v>CV023</x:v>
      </x:c>
      <x:c r="E27" s="24" t="str">
        <x:v>融资方式多样性</x:v>
      </x:c>
      <x:c r="F27" s="24" t="str">
        <x:v>融资机制</x:v>
      </x:c>
      <x:c r="G27" s="24" t="str">
        <x:v>B扩展</x:v>
      </x:c>
      <x:c r="H27" s="24" t="str">
        <x:v>INTEGER</x:v>
      </x:c>
      <x:c r="I27" s="24" t="str">
        <x:v>种</x:v>
      </x:c>
      <x:c r="J27" s="24" t="str">
        <x:v>计算值</x:v>
      </x:c>
      <x:c r="K27" s="24" t="str">
        <x:v>VALID</x:v>
      </x:c>
      <x:c r="L27" s="24" t="n">
        <x:v>1</x:v>
      </x:c>
      <x:c r="M27" s="24" t="str">
        <x:v>VALID</x:v>
      </x:c>
      <x:c r="N27" s="24" t="str">
        <x:v>OBSERVED_OR_CALCULATED</x:v>
      </x:c>
      <x:c r="O27" s="24" t="str">
        <x:v>符合Stage 3计算门槛。</x:v>
      </x:c>
      <x:c r="P27" s="24" t="n">
        <x:v>0</x:v>
      </x:c>
      <x:c r="Q27" s="24"/>
      <x:c r="R27" s="24"/>
      <x:c r="S27" s="24" t="str">
        <x:v>融资交易组成标准化方式=['CAPITAL_INCREASE']。</x:v>
      </x:c>
      <x:c r="T27" s="24" t="str">
        <x:v>TRX-301563-INC-001; TRX-301563-INC-002; TRX-301563-INC-003; TRX-301563-INC-005; TRX-301563-INC-006; TRX-301563-INC-007; TRX-301563-INC-008; TRX-301563-INC-009</x:v>
      </x:c>
      <x:c r="U27" s="24"/>
      <x:c r="V27" s="24" t="str">
        <x:v>FROZEN_UNCHANGED</x:v>
      </x:c>
      <x:c r="W27" s="24" t="n">
        <x:v>0</x:v>
      </x:c>
    </x:row>
    <x:row r="28" ht="52" customHeight="1">
      <x:c r="A28" s="24" t="str">
        <x:v>301563|CV024</x:v>
      </x:c>
      <x:c r="B28" s="24" t="str">
        <x:v>301563</x:v>
      </x:c>
      <x:c r="C28" s="24" t="str">
        <x:v>云汉芯城</x:v>
      </x:c>
      <x:c r="D28" s="24" t="str">
        <x:v>CV024</x:v>
      </x:c>
      <x:c r="E28" s="24" t="str">
        <x:v>股权转让交易数</x:v>
      </x:c>
      <x:c r="F28" s="24" t="str">
        <x:v>二级股权流动</x:v>
      </x:c>
      <x:c r="G28" s="24" t="str">
        <x:v>A核心</x:v>
      </x:c>
      <x:c r="H28" s="24" t="str">
        <x:v>INTEGER</x:v>
      </x:c>
      <x:c r="I28" s="24" t="str">
        <x:v>笔</x:v>
      </x:c>
      <x:c r="J28" s="24" t="str">
        <x:v>计算值</x:v>
      </x:c>
      <x:c r="K28" s="24" t="str">
        <x:v>VALID</x:v>
      </x:c>
      <x:c r="L28" s="24" t="n">
        <x:v>20</x:v>
      </x:c>
      <x:c r="M28" s="24" t="str">
        <x:v>VALID</x:v>
      </x:c>
      <x:c r="N28" s="24" t="str">
        <x:v>OBSERVED_OR_CALCULATED</x:v>
      </x:c>
      <x:c r="O28" s="24" t="str">
        <x:v>符合Stage 3计算门槛。</x:v>
      </x:c>
      <x:c r="P28" s="24" t="n">
        <x:v>0</x:v>
      </x:c>
      <x:c r="Q28" s="24"/>
      <x:c r="R28" s="24"/>
      <x:c r="S28" s="24" t="str">
        <x:v>按EQUITY_TRANSFER交易记录计数。</x:v>
      </x:c>
      <x:c r="T28" s="24" t="str">
        <x:v>TRX-301563-TR-LOT-001; TRX-301563-TR-LOT-002; TRX-301563-TR-LOT-003; TRX-301563-TR-LOT-004; TRX-301563-TR-LOT-005; TRX-301563-TR-LOT-006; TRX-301563-TR-LOT-007; TRX-301563-TR-LOT-008; TRX-301563-TR-LOT-009; TRX-301563-TR-LOT-010; TRX-301563-TR-LOT-011; TRX-301563-TR-LOT-012; TRX-301563-TR-LOT-013; TRX-301563-TR-LOT-014; TRX-301563-TR-LOT-015; TRX-301563-TR-LOT-016; TRX-301563-TR-LOT-017; TRX-301563-TR-LOT-018; TRX-301563-TR-LOT-019; TRX-301563-TR-LOT-020</x:v>
      </x:c>
      <x:c r="U28" s="24"/>
      <x:c r="V28" s="24" t="str">
        <x:v>FROZEN_UNCHANGED</x:v>
      </x:c>
      <x:c r="W28" s="24" t="n">
        <x:v>0</x:v>
      </x:c>
    </x:row>
    <x:row r="29" ht="52" customHeight="1">
      <x:c r="A29" s="24" t="str">
        <x:v>301563|CV025</x:v>
      </x:c>
      <x:c r="B29" s="24" t="str">
        <x:v>301563</x:v>
      </x:c>
      <x:c r="C29" s="24" t="str">
        <x:v>云汉芯城</x:v>
      </x:c>
      <x:c r="D29" s="24" t="str">
        <x:v>CV025</x:v>
      </x:c>
      <x:c r="E29" s="24" t="str">
        <x:v>可核验股权转让对价下限</x:v>
      </x:c>
      <x:c r="F29" s="24" t="str">
        <x:v>二级股权流动</x:v>
      </x:c>
      <x:c r="G29" s="24" t="str">
        <x:v>A核心</x:v>
      </x:c>
      <x:c r="H29" s="24" t="str">
        <x:v>CONTINUOUS</x:v>
      </x:c>
      <x:c r="I29" s="24" t="str">
        <x:v>万元人民币</x:v>
      </x:c>
      <x:c r="J29" s="24" t="str">
        <x:v>标准化值+计算值</x:v>
      </x:c>
      <x:c r="K29" s="24" t="str">
        <x:v>VALID</x:v>
      </x:c>
      <x:c r="L29" s="24" t="n">
        <x:v>13018.1954</x:v>
      </x:c>
      <x:c r="M29" s="24" t="str">
        <x:v>VALID</x:v>
      </x:c>
      <x:c r="N29" s="24" t="str">
        <x:v>OBSERVED_OR_CALCULATED</x:v>
      </x:c>
      <x:c r="O29" s="24" t="str">
        <x:v>符合Stage 3计算门槛。</x:v>
      </x:c>
      <x:c r="P29" s="24" t="n">
        <x:v>0</x:v>
      </x:c>
      <x:c r="Q29" s="24"/>
      <x:c r="R29" s="24"/>
      <x:c r="S29" s="24" t="str">
        <x:v>读取公司层冻结转让对价下限；状态=KNOWN_LOWER_BOUND。</x:v>
      </x:c>
      <x:c r="T29" s="24" t="str">
        <x:v>companies:301563</x:v>
      </x:c>
      <x:c r="U29" s="24"/>
      <x:c r="V29" s="24" t="str">
        <x:v>FROZEN_UNCHANGED</x:v>
      </x:c>
      <x:c r="W29" s="24" t="n">
        <x:v>0</x:v>
      </x:c>
    </x:row>
    <x:row r="30" ht="52" customHeight="1">
      <x:c r="A30" s="24" t="str">
        <x:v>301563|CV026</x:v>
      </x:c>
      <x:c r="B30" s="24" t="str">
        <x:v>301563</x:v>
      </x:c>
      <x:c r="C30" s="24" t="str">
        <x:v>云汉芯城</x:v>
      </x:c>
      <x:c r="D30" s="24" t="str">
        <x:v>CV026</x:v>
      </x:c>
      <x:c r="E30" s="24" t="str">
        <x:v>转让对价与融资金额比</x:v>
      </x:c>
      <x:c r="F30" s="24" t="str">
        <x:v>二级股权流动</x:v>
      </x:c>
      <x:c r="G30" s="24" t="str">
        <x:v>B扩展</x:v>
      </x:c>
      <x:c r="H30" s="24" t="str">
        <x:v>RATIO</x:v>
      </x:c>
      <x:c r="I30" s="24" t="str">
        <x:v>0–∞</x:v>
      </x:c>
      <x:c r="J30" s="24" t="str">
        <x:v>计算值</x:v>
      </x:c>
      <x:c r="K30" s="24" t="str">
        <x:v>VALID</x:v>
      </x:c>
      <x:c r="L30" s="24" t="n">
        <x:v>0.48002195427728617</x:v>
      </x:c>
      <x:c r="M30" s="24" t="str">
        <x:v>VALID</x:v>
      </x:c>
      <x:c r="N30" s="24" t="str">
        <x:v>OBSERVED_OR_CALCULATED</x:v>
      </x:c>
      <x:c r="O30" s="24" t="str">
        <x:v>符合Stage 3计算门槛。</x:v>
      </x:c>
      <x:c r="P30" s="24" t="n">
        <x:v>0</x:v>
      </x:c>
      <x:c r="Q30" s="24"/>
      <x:c r="R30" s="24"/>
      <x:c r="S30" s="24" t="str">
        <x:v>转让对价下限/融资金额下限；两类金额未相加。</x:v>
      </x:c>
      <x:c r="T30" s="24" t="str">
        <x:v>companies:301563</x:v>
      </x:c>
      <x:c r="U30" s="24"/>
      <x:c r="V30" s="24" t="str">
        <x:v>FROZEN_UNCHANGED</x:v>
      </x:c>
      <x:c r="W30" s="24" t="n">
        <x:v>0</x:v>
      </x:c>
    </x:row>
    <x:row r="31" ht="52" customHeight="1">
      <x:c r="A31" s="24" t="str">
        <x:v>301563|CV027</x:v>
      </x:c>
      <x:c r="B31" s="24" t="str">
        <x:v>301563</x:v>
      </x:c>
      <x:c r="C31" s="24" t="str">
        <x:v>云汉芯城</x:v>
      </x:c>
      <x:c r="D31" s="24" t="str">
        <x:v>CV027</x:v>
      </x:c>
      <x:c r="E31" s="24" t="str">
        <x:v>金额已知融资轮数</x:v>
      </x:c>
      <x:c r="F31" s="24" t="str">
        <x:v>数据可用性</x:v>
      </x:c>
      <x:c r="G31" s="24" t="str">
        <x:v>Q质量</x:v>
      </x:c>
      <x:c r="H31" s="24" t="str">
        <x:v>INTEGER</x:v>
      </x:c>
      <x:c r="I31" s="24" t="str">
        <x:v>轮</x:v>
      </x:c>
      <x:c r="J31" s="24" t="str">
        <x:v>计算值</x:v>
      </x:c>
      <x:c r="K31" s="24" t="str">
        <x:v>VALID</x:v>
      </x:c>
      <x:c r="L31" s="24" t="n">
        <x:v>3</x:v>
      </x:c>
      <x:c r="M31" s="24" t="str">
        <x:v>VALID</x:v>
      </x:c>
      <x:c r="N31" s="24" t="str">
        <x:v>OBSERVED_OR_CALCULATED</x:v>
      </x:c>
      <x:c r="O31" s="24" t="str">
        <x:v>符合Stage 3计算门槛。</x:v>
      </x:c>
      <x:c r="P31" s="24" t="n">
        <x:v>0</x:v>
      </x:c>
      <x:c r="Q31" s="24"/>
      <x:c r="R31" s="24"/>
      <x:c r="S31" s="24" t="str">
        <x:v>融资轮中金额非null记录数。</x:v>
      </x:c>
      <x:c r="T31" s="24" t="str">
        <x:v>CE-012; CE-013-01; CE-010-01</x:v>
      </x:c>
      <x:c r="U31" s="24"/>
      <x:c r="V31" s="24" t="str">
        <x:v>FROZEN_UNCHANGED</x:v>
      </x:c>
      <x:c r="W31" s="24" t="n">
        <x:v>0</x:v>
      </x:c>
    </x:row>
    <x:row r="32" ht="52" customHeight="1">
      <x:c r="A32" s="24" t="str">
        <x:v>301563|CV028</x:v>
      </x:c>
      <x:c r="B32" s="24" t="str">
        <x:v>301563</x:v>
      </x:c>
      <x:c r="C32" s="24" t="str">
        <x:v>云汉芯城</x:v>
      </x:c>
      <x:c r="D32" s="24" t="str">
        <x:v>CV028</x:v>
      </x:c>
      <x:c r="E32" s="24" t="str">
        <x:v>融资轮金额覆盖率</x:v>
      </x:c>
      <x:c r="F32" s="24" t="str">
        <x:v>数据可用性</x:v>
      </x:c>
      <x:c r="G32" s="24" t="str">
        <x:v>Q质量</x:v>
      </x:c>
      <x:c r="H32" s="24" t="str">
        <x:v>RATIO</x:v>
      </x:c>
      <x:c r="I32" s="24" t="str">
        <x:v>0–1</x:v>
      </x:c>
      <x:c r="J32" s="24" t="str">
        <x:v>计算值</x:v>
      </x:c>
      <x:c r="K32" s="24" t="str">
        <x:v>VALID</x:v>
      </x:c>
      <x:c r="L32" s="24" t="n">
        <x:v>0.42857142857142855</x:v>
      </x:c>
      <x:c r="M32" s="24" t="str">
        <x:v>VALID</x:v>
      </x:c>
      <x:c r="N32" s="24" t="str">
        <x:v>OBSERVED_OR_CALCULATED</x:v>
      </x:c>
      <x:c r="O32" s="24" t="str">
        <x:v>符合Stage 3计算门槛。</x:v>
      </x:c>
      <x:c r="P32" s="24" t="n">
        <x:v>0</x:v>
      </x:c>
      <x:c r="Q32" s="24"/>
      <x:c r="R32" s="24"/>
      <x:c r="S32" s="24" t="str">
        <x:v>金额非null融资轮数/融资轮总数。</x:v>
      </x:c>
      <x:c r="T32" s="24" t="str">
        <x:v>CE-002-02; CE-004; CE-005; CE-007; CE-012; CE-013-01; CE-010-01</x:v>
      </x:c>
      <x:c r="U32" s="24"/>
      <x:c r="V32" s="24" t="str">
        <x:v>FROZEN_UNCHANGED</x:v>
      </x:c>
      <x:c r="W32" s="24" t="n">
        <x:v>0</x:v>
      </x:c>
    </x:row>
    <x:row r="33" ht="52" customHeight="1">
      <x:c r="A33" s="24" t="str">
        <x:v>301563|CV029</x:v>
      </x:c>
      <x:c r="B33" s="24" t="str">
        <x:v>301563</x:v>
      </x:c>
      <x:c r="C33" s="24" t="str">
        <x:v>云汉芯城</x:v>
      </x:c>
      <x:c r="D33" s="24" t="str">
        <x:v>CV029</x:v>
      </x:c>
      <x:c r="E33" s="24" t="str">
        <x:v>融资轮日期覆盖率</x:v>
      </x:c>
      <x:c r="F33" s="24" t="str">
        <x:v>数据可用性</x:v>
      </x:c>
      <x:c r="G33" s="24" t="str">
        <x:v>Q质量</x:v>
      </x:c>
      <x:c r="H33" s="24" t="str">
        <x:v>RATIO</x:v>
      </x:c>
      <x:c r="I33" s="24" t="str">
        <x:v>0–1</x:v>
      </x:c>
      <x:c r="J33" s="24" t="str">
        <x:v>计算值</x:v>
      </x:c>
      <x:c r="K33" s="24" t="str">
        <x:v>VALID</x:v>
      </x:c>
      <x:c r="L33" s="24" t="n">
        <x:v>0.8571428571428571</x:v>
      </x:c>
      <x:c r="M33" s="24" t="str">
        <x:v>VALID</x:v>
      </x:c>
      <x:c r="N33" s="24" t="str">
        <x:v>OBSERVED_OR_CALCULATED</x:v>
      </x:c>
      <x:c r="O33" s="24" t="str">
        <x:v>符合Stage 3计算门槛。</x:v>
      </x:c>
      <x:c r="P33" s="24" t="n">
        <x:v>0</x:v>
      </x:c>
      <x:c r="Q33" s="24"/>
      <x:c r="R33" s="24"/>
      <x:c r="S33" s="24" t="str">
        <x:v>DAY或MONTH精度融资轮数/融资轮总数。</x:v>
      </x:c>
      <x:c r="T33" s="24" t="str">
        <x:v>CE-002-02; CE-004; CE-005; CE-007; CE-012; CE-013-01; CE-010-01</x:v>
      </x:c>
      <x:c r="U33" s="24"/>
      <x:c r="V33" s="24" t="str">
        <x:v>FROZEN_UNCHANGED</x:v>
      </x:c>
      <x:c r="W33" s="24" t="n">
        <x:v>0</x:v>
      </x:c>
    </x:row>
    <x:row r="34" ht="52" customHeight="1">
      <x:c r="A34" s="24" t="str">
        <x:v>301563|CV030</x:v>
      </x:c>
      <x:c r="B34" s="24" t="str">
        <x:v>301563</x:v>
      </x:c>
      <x:c r="C34" s="24" t="str">
        <x:v>云汉芯城</x:v>
      </x:c>
      <x:c r="D34" s="24" t="str">
        <x:v>CV030</x:v>
      </x:c>
      <x:c r="E34" s="24" t="str">
        <x:v>计算型轮次金额占比</x:v>
      </x:c>
      <x:c r="F34" s="24" t="str">
        <x:v>数值来源结构</x:v>
      </x:c>
      <x:c r="G34" s="24" t="str">
        <x:v>Q质量</x:v>
      </x:c>
      <x:c r="H34" s="24" t="str">
        <x:v>RATIO</x:v>
      </x:c>
      <x:c r="I34" s="24" t="str">
        <x:v>0–1</x:v>
      </x:c>
      <x:c r="J34" s="24" t="str">
        <x:v>计算值</x:v>
      </x:c>
      <x:c r="K34" s="24" t="str">
        <x:v>VALID</x:v>
      </x:c>
      <x:c r="L34" s="24" t="n">
        <x:v>0.6666666666666666</x:v>
      </x:c>
      <x:c r="M34" s="24" t="str">
        <x:v>VALID</x:v>
      </x:c>
      <x:c r="N34" s="24" t="str">
        <x:v>OBSERVED_OR_CALCULATED</x:v>
      </x:c>
      <x:c r="O34" s="24" t="str">
        <x:v>符合Stage 3计算门槛。</x:v>
      </x:c>
      <x:c r="P34" s="24" t="n">
        <x:v>0</x:v>
      </x:c>
      <x:c r="Q34" s="24"/>
      <x:c r="R34" s="24"/>
      <x:c r="S34" s="24" t="str">
        <x:v>CALCULATED已知金额轮数/已知金额轮数。</x:v>
      </x:c>
      <x:c r="T34" s="24" t="str">
        <x:v>CE-012; CE-013-01; CE-010-01</x:v>
      </x:c>
      <x:c r="U34" s="24"/>
      <x:c r="V34" s="24" t="str">
        <x:v>FROZEN_UNCHANGED</x:v>
      </x:c>
      <x:c r="W34" s="24" t="n">
        <x:v>0</x:v>
      </x:c>
    </x:row>
    <x:row r="35" ht="52" customHeight="1">
      <x:c r="A35" s="24" t="str">
        <x:v>301563|CV031</x:v>
      </x:c>
      <x:c r="B35" s="24" t="str">
        <x:v>301563</x:v>
      </x:c>
      <x:c r="C35" s="24" t="str">
        <x:v>云汉芯城</x:v>
      </x:c>
      <x:c r="D35" s="24" t="str">
        <x:v>CV031</x:v>
      </x:c>
      <x:c r="E35" s="24" t="str">
        <x:v>每轮融资证据记录数</x:v>
      </x:c>
      <x:c r="F35" s="24" t="str">
        <x:v>证据密度</x:v>
      </x:c>
      <x:c r="G35" s="24" t="str">
        <x:v>Q质量</x:v>
      </x:c>
      <x:c r="H35" s="24" t="str">
        <x:v>RATIO</x:v>
      </x:c>
      <x:c r="I35" s="24" t="str">
        <x:v>条/轮</x:v>
      </x:c>
      <x:c r="J35" s="24" t="str">
        <x:v>计算值</x:v>
      </x:c>
      <x:c r="K35" s="24" t="str">
        <x:v>VALID</x:v>
      </x:c>
      <x:c r="L35" s="24" t="n">
        <x:v>2.857142857142857</x:v>
      </x:c>
      <x:c r="M35" s="24" t="str">
        <x:v>VALID</x:v>
      </x:c>
      <x:c r="N35" s="24" t="str">
        <x:v>OBSERVED_OR_CALCULATED</x:v>
      </x:c>
      <x:c r="O35" s="24" t="str">
        <x:v>符合Stage 3计算门槛。</x:v>
      </x:c>
      <x:c r="P35" s="24" t="n">
        <x:v>0</x:v>
      </x:c>
      <x:c r="Q35" s="24"/>
      <x:c r="R35" s="24"/>
      <x:c r="S35" s="24" t="str">
        <x:v>关联融资轮的去重evidence_id数/融资轮数。</x:v>
      </x:c>
      <x:c r="T35" s="24" t="str">
        <x:v>CE-004-E01; CE-004-E02; CE-005-E01; CE-005-E02; CE-007-E01; CE-007-E02; CE-012-E01; CE-012-E02; CE-012-E03; CE-012-E04; EVD-003; EVD-006; EVD-009; EVD-010; EVD-013; EVD-014; EVD-015; EVD-016; EVD-017; EVD-018</x:v>
      </x:c>
      <x:c r="U35" s="24"/>
      <x:c r="V35" s="24" t="str">
        <x:v>FROZEN_UNCHANGED</x:v>
      </x:c>
      <x:c r="W35" s="24" t="n">
        <x:v>0</x:v>
      </x:c>
    </x:row>
    <x:row r="36" ht="52" customHeight="1">
      <x:c r="A36" s="24" t="str">
        <x:v>301563|CV032</x:v>
      </x:c>
      <x:c r="B36" s="24" t="str">
        <x:v>301563</x:v>
      </x:c>
      <x:c r="C36" s="24" t="str">
        <x:v>云汉芯城</x:v>
      </x:c>
      <x:c r="D36" s="24" t="str">
        <x:v>CV032</x:v>
      </x:c>
      <x:c r="E36" s="24" t="str">
        <x:v>公司级披露限制标记</x:v>
      </x:c>
      <x:c r="F36" s="24" t="str">
        <x:v>披露边界</x:v>
      </x:c>
      <x:c r="G36" s="24" t="str">
        <x:v>Q质量</x:v>
      </x:c>
      <x:c r="H36" s="24" t="str">
        <x:v>BINARY</x:v>
      </x:c>
      <x:c r="I36" s="24" t="str">
        <x:v>0/1</x:v>
      </x:c>
      <x:c r="J36" s="24" t="str">
        <x:v>研究判断派生</x:v>
      </x:c>
      <x:c r="K36" s="24" t="str">
        <x:v>VALID</x:v>
      </x:c>
      <x:c r="L36" s="24" t="n">
        <x:v>1</x:v>
      </x:c>
      <x:c r="M36" s="24" t="str">
        <x:v>VALID</x:v>
      </x:c>
      <x:c r="N36" s="24" t="str">
        <x:v>OBSERVED_OR_CALCULATED</x:v>
      </x:c>
      <x:c r="O36" s="24" t="str">
        <x:v>符合Stage 3计算门槛。</x:v>
      </x:c>
      <x:c r="P36" s="24" t="n">
        <x:v>0</x:v>
      </x:c>
      <x:c r="Q36" s="24"/>
      <x:c r="R36" s="24"/>
      <x:c r="S36" s="24" t="str">
        <x:v>FINAL_APPROVED公司记录中检查disclosure_limitation是否非空。</x:v>
      </x:c>
      <x:c r="T36" s="24" t="str">
        <x:v>companies:301563</x:v>
      </x:c>
      <x:c r="U36" s="24"/>
      <x:c r="V36" s="24" t="str">
        <x:v>FROZEN_UNCHANGED</x:v>
      </x:c>
      <x:c r="W36" s="24" t="n">
        <x:v>0</x:v>
      </x:c>
    </x:row>
    <x:row r="37" ht="52" customHeight="1">
      <x:c r="A37" s="24" t="str">
        <x:v>001282|CV001</x:v>
      </x:c>
      <x:c r="B37" s="24" t="str">
        <x:v>001282</x:v>
      </x:c>
      <x:c r="C37" s="24" t="str">
        <x:v>三联锻造</x:v>
      </x:c>
      <x:c r="D37" s="24" t="str">
        <x:v>CV001</x:v>
      </x:c>
      <x:c r="E37" s="24" t="str">
        <x:v>上市前直接股权融资发生标记</x:v>
      </x:c>
      <x:c r="F37" s="24" t="str">
        <x:v>融资经历</x:v>
      </x:c>
      <x:c r="G37" s="24" t="str">
        <x:v>A核心</x:v>
      </x:c>
      <x:c r="H37" s="24" t="str">
        <x:v>BINARY</x:v>
      </x:c>
      <x:c r="I37" s="24" t="str">
        <x:v>0/1</x:v>
      </x:c>
      <x:c r="J37" s="24" t="str">
        <x:v>研究判断派生</x:v>
      </x:c>
      <x:c r="K37" s="24" t="str">
        <x:v>VALID</x:v>
      </x:c>
      <x:c r="L37" s="24" t="n">
        <x:v>1</x:v>
      </x:c>
      <x:c r="M37" s="24" t="str">
        <x:v>VALID</x:v>
      </x:c>
      <x:c r="N37" s="24" t="str">
        <x:v>OBSERVED_OR_CALCULATED</x:v>
      </x:c>
      <x:c r="O37" s="24" t="str">
        <x:v>符合Stage 3计算门槛。</x:v>
      </x:c>
      <x:c r="P37" s="24" t="n">
        <x:v>0</x:v>
      </x:c>
      <x:c r="Q37" s="24"/>
      <x:c r="R37" s="24"/>
      <x:c r="S37" s="24" t="str">
        <x:v>financing_round_count=1，据此生成二元标记。</x:v>
      </x:c>
      <x:c r="T37" s="24" t="str">
        <x:v>companies:001282</x:v>
      </x:c>
      <x:c r="U37" s="24"/>
      <x:c r="V37" s="24" t="str">
        <x:v>FROZEN_UNCHANGED</x:v>
      </x:c>
      <x:c r="W37" s="24" t="n">
        <x:v>0</x:v>
      </x:c>
    </x:row>
    <x:row r="38" ht="52" customHeight="1">
      <x:c r="A38" s="24" t="str">
        <x:v>001282|CV002</x:v>
      </x:c>
      <x:c r="B38" s="24" t="str">
        <x:v>001282</x:v>
      </x:c>
      <x:c r="C38" s="24" t="str">
        <x:v>三联锻造</x:v>
      </x:c>
      <x:c r="D38" s="24" t="str">
        <x:v>CV002</x:v>
      </x:c>
      <x:c r="E38" s="24" t="str">
        <x:v>上市前直接股权融资轮数</x:v>
      </x:c>
      <x:c r="F38" s="24" t="str">
        <x:v>融资频度</x:v>
      </x:c>
      <x:c r="G38" s="24" t="str">
        <x:v>A核心</x:v>
      </x:c>
      <x:c r="H38" s="24" t="str">
        <x:v>INTEGER</x:v>
      </x:c>
      <x:c r="I38" s="24" t="str">
        <x:v>轮</x:v>
      </x:c>
      <x:c r="J38" s="24" t="str">
        <x:v>研究判断</x:v>
      </x:c>
      <x:c r="K38" s="24" t="str">
        <x:v>VALID</x:v>
      </x:c>
      <x:c r="L38" s="24" t="n">
        <x:v>1</x:v>
      </x:c>
      <x:c r="M38" s="24" t="str">
        <x:v>VALID</x:v>
      </x:c>
      <x:c r="N38" s="24" t="str">
        <x:v>OBSERVED_OR_CALCULATED</x:v>
      </x:c>
      <x:c r="O38" s="24" t="str">
        <x:v>符合Stage 3计算门槛。</x:v>
      </x:c>
      <x:c r="P38" s="24" t="n">
        <x:v>0</x:v>
      </x:c>
      <x:c r="Q38" s="24"/>
      <x:c r="R38" s="24"/>
      <x:c r="S38" s="24" t="str">
        <x:v>公司冻结轮次=1；事件层TRUE计数=1。</x:v>
      </x:c>
      <x:c r="T38" s="24" t="str">
        <x:v>companies:001282; EVT-001282-0003</x:v>
      </x:c>
      <x:c r="U38" s="24"/>
      <x:c r="V38" s="24" t="str">
        <x:v>FROZEN_UNCHANGED</x:v>
      </x:c>
      <x:c r="W38" s="24" t="n">
        <x:v>0</x:v>
      </x:c>
    </x:row>
    <x:row r="39" ht="52" customHeight="1">
      <x:c r="A39" s="24" t="str">
        <x:v>001282|CV003</x:v>
      </x:c>
      <x:c r="B39" s="24" t="str">
        <x:v>001282</x:v>
      </x:c>
      <x:c r="C39" s="24" t="str">
        <x:v>三联锻造</x:v>
      </x:c>
      <x:c r="D39" s="24" t="str">
        <x:v>CV003</x:v>
      </x:c>
      <x:c r="E39" s="24" t="str">
        <x:v>可核验融资金额下限</x:v>
      </x:c>
      <x:c r="F39" s="24" t="str">
        <x:v>融资规模</x:v>
      </x:c>
      <x:c r="G39" s="24" t="str">
        <x:v>A核心</x:v>
      </x:c>
      <x:c r="H39" s="24" t="str">
        <x:v>CONTINUOUS</x:v>
      </x:c>
      <x:c r="I39" s="24" t="str">
        <x:v>万元人民币</x:v>
      </x:c>
      <x:c r="J39" s="24" t="str">
        <x:v>标准化值+计算值</x:v>
      </x:c>
      <x:c r="K39" s="24" t="str">
        <x:v>VALID</x:v>
      </x:c>
      <x:c r="L39" s="24" t="n">
        <x:v>1566</x:v>
      </x:c>
      <x:c r="M39" s="24" t="str">
        <x:v>VALID</x:v>
      </x:c>
      <x:c r="N39" s="24" t="str">
        <x:v>OBSERVED_OR_CALCULATED</x:v>
      </x:c>
      <x:c r="O39" s="24" t="str">
        <x:v>符合Stage 3计算门槛。</x:v>
      </x:c>
      <x:c r="P39" s="24" t="n">
        <x:v>0</x:v>
      </x:c>
      <x:c r="Q39" s="24"/>
      <x:c r="R39" s="24"/>
      <x:c r="S39" s="24" t="str">
        <x:v>读取公司层冻结金额；状态=DISCLOSED_COMPLETE。</x:v>
      </x:c>
      <x:c r="T39" s="24" t="str">
        <x:v>companies:001282</x:v>
      </x:c>
      <x:c r="U39" s="24"/>
      <x:c r="V39" s="24" t="str">
        <x:v>FROZEN_UNCHANGED</x:v>
      </x:c>
      <x:c r="W39" s="24" t="n">
        <x:v>0</x:v>
      </x:c>
    </x:row>
    <x:row r="40" ht="52" customHeight="1">
      <x:c r="A40" s="24" t="str">
        <x:v>001282|CV004</x:v>
      </x:c>
      <x:c r="B40" s="24" t="str">
        <x:v>001282</x:v>
      </x:c>
      <x:c r="C40" s="24" t="str">
        <x:v>三联锻造</x:v>
      </x:c>
      <x:c r="D40" s="24" t="str">
        <x:v>CV004</x:v>
      </x:c>
      <x:c r="E40" s="24" t="str">
        <x:v>融资金额下限对数</x:v>
      </x:c>
      <x:c r="F40" s="24" t="str">
        <x:v>融资规模</x:v>
      </x:c>
      <x:c r="G40" s="24" t="str">
        <x:v>B扩展</x:v>
      </x:c>
      <x:c r="H40" s="24" t="str">
        <x:v>CONTINUOUS</x:v>
      </x:c>
      <x:c r="I40" s="24" t="str">
        <x:v>ln(1+万元)</x:v>
      </x:c>
      <x:c r="J40" s="24" t="str">
        <x:v>计算值</x:v>
      </x:c>
      <x:c r="K40" s="24" t="str">
        <x:v>VALID</x:v>
      </x:c>
      <x:c r="L40" s="24" t="n">
        <x:v>7.356918242356021</x:v>
      </x:c>
      <x:c r="M40" s="24" t="str">
        <x:v>VALID</x:v>
      </x:c>
      <x:c r="N40" s="24" t="str">
        <x:v>OBSERVED_OR_CALCULATED</x:v>
      </x:c>
      <x:c r="O40" s="24" t="str">
        <x:v>符合Stage 3计算门槛。</x:v>
      </x:c>
      <x:c r="P40" s="24" t="n">
        <x:v>0</x:v>
      </x:c>
      <x:c r="Q40" s="24"/>
      <x:c r="R40" s="24"/>
      <x:c r="S40" s="24" t="str">
        <x:v>LN(1+公司层融资金额下限)。</x:v>
      </x:c>
      <x:c r="T40" s="24" t="str">
        <x:v>companies:001282</x:v>
      </x:c>
      <x:c r="U40" s="24"/>
      <x:c r="V40" s="24" t="str">
        <x:v>FROZEN_UNCHANGED</x:v>
      </x:c>
      <x:c r="W40" s="24" t="n">
        <x:v>0</x:v>
      </x:c>
    </x:row>
    <x:row r="41" ht="52" customHeight="1">
      <x:c r="A41" s="24" t="str">
        <x:v>001282|CV005</x:v>
      </x:c>
      <x:c r="B41" s="24" t="str">
        <x:v>001282</x:v>
      </x:c>
      <x:c r="C41" s="24" t="str">
        <x:v>三联锻造</x:v>
      </x:c>
      <x:c r="D41" s="24" t="str">
        <x:v>CV005</x:v>
      </x:c>
      <x:c r="E41" s="24" t="str">
        <x:v>已知金额轮次均值</x:v>
      </x:c>
      <x:c r="F41" s="24" t="str">
        <x:v>单轮融资规模</x:v>
      </x:c>
      <x:c r="G41" s="24" t="str">
        <x:v>A核心</x:v>
      </x:c>
      <x:c r="H41" s="24" t="str">
        <x:v>CONTINUOUS</x:v>
      </x:c>
      <x:c r="I41" s="24" t="str">
        <x:v>万元人民币/已知轮</x:v>
      </x:c>
      <x:c r="J41" s="24" t="str">
        <x:v>计算值</x:v>
      </x:c>
      <x:c r="K41" s="24" t="str">
        <x:v>VALID</x:v>
      </x:c>
      <x:c r="L41" s="24" t="n">
        <x:v>1566</x:v>
      </x:c>
      <x:c r="M41" s="24" t="str">
        <x:v>VALID</x:v>
      </x:c>
      <x:c r="N41" s="24" t="str">
        <x:v>OBSERVED_OR_CALCULATED</x:v>
      </x:c>
      <x:c r="O41" s="24" t="str">
        <x:v>符合Stage 3计算门槛。</x:v>
      </x:c>
      <x:c r="P41" s="24" t="n">
        <x:v>0</x:v>
      </x:c>
      <x:c r="Q41" s="24"/>
      <x:c r="R41" s="24"/>
      <x:c r="S41" s="24" t="str">
        <x:v>基于1个非null融资轮金额计算已知轮次金额均值。</x:v>
      </x:c>
      <x:c r="T41" s="24" t="str">
        <x:v>EVT-001282-0003</x:v>
      </x:c>
      <x:c r="U41" s="24"/>
      <x:c r="V41" s="24" t="str">
        <x:v>FROZEN_UNCHANGED</x:v>
      </x:c>
      <x:c r="W41" s="24" t="n">
        <x:v>0</x:v>
      </x:c>
    </x:row>
    <x:row r="42" ht="52" customHeight="1">
      <x:c r="A42" s="24" t="str">
        <x:v>001282|CV006</x:v>
      </x:c>
      <x:c r="B42" s="24" t="str">
        <x:v>001282</x:v>
      </x:c>
      <x:c r="C42" s="24" t="str">
        <x:v>三联锻造</x:v>
      </x:c>
      <x:c r="D42" s="24" t="str">
        <x:v>CV006</x:v>
      </x:c>
      <x:c r="E42" s="24" t="str">
        <x:v>已知金额轮次中位数</x:v>
      </x:c>
      <x:c r="F42" s="24" t="str">
        <x:v>单轮融资规模</x:v>
      </x:c>
      <x:c r="G42" s="24" t="str">
        <x:v>B扩展</x:v>
      </x:c>
      <x:c r="H42" s="24" t="str">
        <x:v>CONTINUOUS</x:v>
      </x:c>
      <x:c r="I42" s="24" t="str">
        <x:v>万元人民币/已知轮</x:v>
      </x:c>
      <x:c r="J42" s="24" t="str">
        <x:v>计算值</x:v>
      </x:c>
      <x:c r="K42" s="24" t="str">
        <x:v>VALID</x:v>
      </x:c>
      <x:c r="L42" s="24" t="n">
        <x:v>1566</x:v>
      </x:c>
      <x:c r="M42" s="24" t="str">
        <x:v>VALID</x:v>
      </x:c>
      <x:c r="N42" s="24" t="str">
        <x:v>OBSERVED_OR_CALCULATED</x:v>
      </x:c>
      <x:c r="O42" s="24" t="str">
        <x:v>符合Stage 3计算门槛。</x:v>
      </x:c>
      <x:c r="P42" s="24" t="n">
        <x:v>0</x:v>
      </x:c>
      <x:c r="Q42" s="24"/>
      <x:c r="R42" s="24"/>
      <x:c r="S42" s="24" t="str">
        <x:v>基于1个非null融资轮金额计算已知轮次金额中位数。</x:v>
      </x:c>
      <x:c r="T42" s="24" t="str">
        <x:v>EVT-001282-0003</x:v>
      </x:c>
      <x:c r="U42" s="24"/>
      <x:c r="V42" s="24" t="str">
        <x:v>FROZEN_UNCHANGED</x:v>
      </x:c>
      <x:c r="W42" s="24" t="n">
        <x:v>0</x:v>
      </x:c>
    </x:row>
    <x:row r="43" ht="52" customHeight="1">
      <x:c r="A43" s="24" t="str">
        <x:v>001282|CV007</x:v>
      </x:c>
      <x:c r="B43" s="24" t="str">
        <x:v>001282</x:v>
      </x:c>
      <x:c r="C43" s="24" t="str">
        <x:v>三联锻造</x:v>
      </x:c>
      <x:c r="D43" s="24" t="str">
        <x:v>CV007</x:v>
      </x:c>
      <x:c r="E43" s="24" t="str">
        <x:v>最大已知单轮融资金额</x:v>
      </x:c>
      <x:c r="F43" s="24" t="str">
        <x:v>融资峰值</x:v>
      </x:c>
      <x:c r="G43" s="24" t="str">
        <x:v>B扩展</x:v>
      </x:c>
      <x:c r="H43" s="24" t="str">
        <x:v>CONTINUOUS</x:v>
      </x:c>
      <x:c r="I43" s="24" t="str">
        <x:v>万元人民币</x:v>
      </x:c>
      <x:c r="J43" s="24" t="str">
        <x:v>计算值</x:v>
      </x:c>
      <x:c r="K43" s="24" t="str">
        <x:v>VALID</x:v>
      </x:c>
      <x:c r="L43" s="24" t="n">
        <x:v>1566</x:v>
      </x:c>
      <x:c r="M43" s="24" t="str">
        <x:v>VALID</x:v>
      </x:c>
      <x:c r="N43" s="24" t="str">
        <x:v>OBSERVED_OR_CALCULATED</x:v>
      </x:c>
      <x:c r="O43" s="24" t="str">
        <x:v>符合Stage 3计算门槛。</x:v>
      </x:c>
      <x:c r="P43" s="24" t="n">
        <x:v>0</x:v>
      </x:c>
      <x:c r="Q43" s="24"/>
      <x:c r="R43" s="24"/>
      <x:c r="S43" s="24" t="str">
        <x:v>基于1个非null融资轮金额计算最大已知轮次金额。</x:v>
      </x:c>
      <x:c r="T43" s="24" t="str">
        <x:v>EVT-001282-0003</x:v>
      </x:c>
      <x:c r="U43" s="24"/>
      <x:c r="V43" s="24" t="str">
        <x:v>FROZEN_UNCHANGED</x:v>
      </x:c>
      <x:c r="W43" s="24" t="n">
        <x:v>0</x:v>
      </x:c>
    </x:row>
    <x:row r="44" ht="52" customHeight="1">
      <x:c r="A44" s="24" t="str">
        <x:v>001282|CV008</x:v>
      </x:c>
      <x:c r="B44" s="24" t="str">
        <x:v>001282</x:v>
      </x:c>
      <x:c r="C44" s="24" t="str">
        <x:v>三联锻造</x:v>
      </x:c>
      <x:c r="D44" s="24" t="str">
        <x:v>CV008</x:v>
      </x:c>
      <x:c r="E44" s="24" t="str">
        <x:v>最大已知轮金额占比</x:v>
      </x:c>
      <x:c r="F44" s="24" t="str">
        <x:v>融资集中度</x:v>
      </x:c>
      <x:c r="G44" s="24" t="str">
        <x:v>B扩展</x:v>
      </x:c>
      <x:c r="H44" s="24" t="str">
        <x:v>RATIO</x:v>
      </x:c>
      <x:c r="I44" s="24" t="str">
        <x:v>0–1</x:v>
      </x:c>
      <x:c r="J44" s="24" t="str">
        <x:v>计算值</x:v>
      </x:c>
      <x:c r="K44" s="24" t="str">
        <x:v>VALID</x:v>
      </x:c>
      <x:c r="L44" s="24" t="n">
        <x:v>1</x:v>
      </x:c>
      <x:c r="M44" s="24" t="str">
        <x:v>VALID</x:v>
      </x:c>
      <x:c r="N44" s="24" t="str">
        <x:v>OBSERVED_OR_CALCULATED</x:v>
      </x:c>
      <x:c r="O44" s="24" t="str">
        <x:v>符合Stage 3计算门槛。</x:v>
      </x:c>
      <x:c r="P44" s="24" t="n">
        <x:v>0</x:v>
      </x:c>
      <x:c r="Q44" s="24"/>
      <x:c r="R44" s="24"/>
      <x:c r="S44" s="24" t="str">
        <x:v>最大已知轮金额/已知事件锚点金额合计。</x:v>
      </x:c>
      <x:c r="T44" s="24" t="str">
        <x:v>EVT-001282-0003</x:v>
      </x:c>
      <x:c r="U44" s="24"/>
      <x:c r="V44" s="24" t="str">
        <x:v>FROZEN_UNCHANGED</x:v>
      </x:c>
      <x:c r="W44" s="24" t="n">
        <x:v>0</x:v>
      </x:c>
    </x:row>
    <x:row r="45" ht="52" customHeight="1">
      <x:c r="A45" s="24" t="str">
        <x:v>001282|CV009</x:v>
      </x:c>
      <x:c r="B45" s="24" t="str">
        <x:v>001282</x:v>
      </x:c>
      <x:c r="C45" s="24" t="str">
        <x:v>三联锻造</x:v>
      </x:c>
      <x:c r="D45" s="24" t="str">
        <x:v>CV009</x:v>
      </x:c>
      <x:c r="E45" s="24" t="str">
        <x:v>融资时间跨度</x:v>
      </x:c>
      <x:c r="F45" s="24" t="str">
        <x:v>融资节奏</x:v>
      </x:c>
      <x:c r="G45" s="24" t="str">
        <x:v>A核心</x:v>
      </x:c>
      <x:c r="H45" s="24" t="str">
        <x:v>CONTINUOUS</x:v>
      </x:c>
      <x:c r="I45" s="24" t="str">
        <x:v>月</x:v>
      </x:c>
      <x:c r="J45" s="24" t="str">
        <x:v>计算值</x:v>
      </x:c>
      <x:c r="K45" s="24" t="str">
        <x:v>STRUCTURAL_NA</x:v>
      </x:c>
      <x:c r="L45" s="24"/>
      <x:c r="M45" s="24" t="str">
        <x:v>STRUCTURAL_NA</x:v>
      </x:c>
      <x:c r="N45" s="24" t="str">
        <x:v>STRUCTURAL_NA_FEWER_THAN_2_ROUNDS</x:v>
      </x:c>
      <x:c r="O45" s="24" t="str">
        <x:v>融资轮数=1，少于2轮。</x:v>
      </x:c>
      <x:c r="P45" s="24" t="n">
        <x:v>0</x:v>
      </x:c>
      <x:c r="Q45" s="24"/>
      <x:c r="R45" s="24"/>
      <x:c r="S45" s="24" t="str">
        <x:v>融资时间跨度不适用。</x:v>
      </x:c>
      <x:c r="T45" s="24" t="str">
        <x:v>EVT-001282-0003</x:v>
      </x:c>
      <x:c r="U45" s="24"/>
      <x:c r="V45" s="24" t="str">
        <x:v>FROZEN_UNCHANGED</x:v>
      </x:c>
      <x:c r="W45" s="24" t="n">
        <x:v>0</x:v>
      </x:c>
    </x:row>
    <x:row r="46" ht="52" customHeight="1">
      <x:c r="A46" s="24" t="str">
        <x:v>001282|CV010</x:v>
      </x:c>
      <x:c r="B46" s="24" t="str">
        <x:v>001282</x:v>
      </x:c>
      <x:c r="C46" s="24" t="str">
        <x:v>三联锻造</x:v>
      </x:c>
      <x:c r="D46" s="24" t="str">
        <x:v>CV010</x:v>
      </x:c>
      <x:c r="E46" s="24" t="str">
        <x:v>融资轮次间隔中位数</x:v>
      </x:c>
      <x:c r="F46" s="24" t="str">
        <x:v>融资节奏</x:v>
      </x:c>
      <x:c r="G46" s="24" t="str">
        <x:v>B扩展</x:v>
      </x:c>
      <x:c r="H46" s="24" t="str">
        <x:v>CONTINUOUS</x:v>
      </x:c>
      <x:c r="I46" s="24" t="str">
        <x:v>月</x:v>
      </x:c>
      <x:c r="J46" s="24" t="str">
        <x:v>计算值</x:v>
      </x:c>
      <x:c r="K46" s="24" t="str">
        <x:v>STRUCTURAL_NA</x:v>
      </x:c>
      <x:c r="L46" s="24"/>
      <x:c r="M46" s="24" t="str">
        <x:v>STRUCTURAL_NA</x:v>
      </x:c>
      <x:c r="N46" s="24" t="str">
        <x:v>STRUCTURAL_NA_FEWER_THAN_2_ROUNDS</x:v>
      </x:c>
      <x:c r="O46" s="24" t="str">
        <x:v>融资轮数=1，少于2轮。</x:v>
      </x:c>
      <x:c r="P46" s="24" t="n">
        <x:v>0</x:v>
      </x:c>
      <x:c r="Q46" s="24"/>
      <x:c r="R46" s="24"/>
      <x:c r="S46" s="24" t="str">
        <x:v>融资间隔中位数不适用。</x:v>
      </x:c>
      <x:c r="T46" s="24" t="str">
        <x:v>EVT-001282-0003</x:v>
      </x:c>
      <x:c r="U46" s="24"/>
      <x:c r="V46" s="24" t="str">
        <x:v>FROZEN_UNCHANGED</x:v>
      </x:c>
      <x:c r="W46" s="24" t="n">
        <x:v>0</x:v>
      </x:c>
    </x:row>
    <x:row r="47" ht="52" customHeight="1">
      <x:c r="A47" s="24" t="str">
        <x:v>001282|CV011</x:v>
      </x:c>
      <x:c r="B47" s="24" t="str">
        <x:v>001282</x:v>
      </x:c>
      <x:c r="C47" s="24" t="str">
        <x:v>三联锻造</x:v>
      </x:c>
      <x:c r="D47" s="24" t="str">
        <x:v>CV011</x:v>
      </x:c>
      <x:c r="E47" s="24" t="str">
        <x:v>确认PE/VC参与标记</x:v>
      </x:c>
      <x:c r="F47" s="24" t="str">
        <x:v>PEVC参与</x:v>
      </x:c>
      <x:c r="G47" s="24" t="str">
        <x:v>A核心</x:v>
      </x:c>
      <x:c r="H47" s="24" t="str">
        <x:v>BINARY</x:v>
      </x:c>
      <x:c r="I47" s="24" t="str">
        <x:v>0/1</x:v>
      </x:c>
      <x:c r="J47" s="24" t="str">
        <x:v>研究判断派生</x:v>
      </x:c>
      <x:c r="K47" s="24" t="str">
        <x:v>VALID</x:v>
      </x:c>
      <x:c r="L47" s="24" t="n">
        <x:v>0</x:v>
      </x:c>
      <x:c r="M47" s="24" t="str">
        <x:v>VALID</x:v>
      </x:c>
      <x:c r="N47" s="24" t="str">
        <x:v>OBSERVED_OR_CALCULATED</x:v>
      </x:c>
      <x:c r="O47" s="24" t="str">
        <x:v>符合Stage 3计算门槛。</x:v>
      </x:c>
      <x:c r="P47" s="24" t="n">
        <x:v>1</x:v>
      </x:c>
      <x:c r="Q47" s="24"/>
      <x:c r="R47" s="24"/>
      <x:c r="S47" s="24" t="str">
        <x:v>confirmed_pevc_legal_entity_count=0。</x:v>
      </x:c>
      <x:c r="T47" s="24" t="str">
        <x:v>companies:001282</x:v>
      </x:c>
      <x:c r="U47" s="24"/>
      <x:c r="V47" s="24" t="str">
        <x:v>FROZEN_UNCHANGED</x:v>
      </x:c>
      <x:c r="W47" s="24" t="n">
        <x:v>0</x:v>
      </x:c>
    </x:row>
    <x:row r="48" ht="52" customHeight="1">
      <x:c r="A48" s="24" t="str">
        <x:v>001282|CV012</x:v>
      </x:c>
      <x:c r="B48" s="24" t="str">
        <x:v>001282</x:v>
      </x:c>
      <x:c r="C48" s="24" t="str">
        <x:v>三联锻造</x:v>
      </x:c>
      <x:c r="D48" s="24" t="str">
        <x:v>CV012</x:v>
      </x:c>
      <x:c r="E48" s="24" t="str">
        <x:v>确认PE/VC法律主体数</x:v>
      </x:c>
      <x:c r="F48" s="24" t="str">
        <x:v>PEVC参与</x:v>
      </x:c>
      <x:c r="G48" s="24" t="str">
        <x:v>A核心</x:v>
      </x:c>
      <x:c r="H48" s="24" t="str">
        <x:v>INTEGER</x:v>
      </x:c>
      <x:c r="I48" s="24" t="str">
        <x:v>个</x:v>
      </x:c>
      <x:c r="J48" s="24" t="str">
        <x:v>计算值+研究判断</x:v>
      </x:c>
      <x:c r="K48" s="24" t="str">
        <x:v>VALID</x:v>
      </x:c>
      <x:c r="L48" s="24" t="n">
        <x:v>0</x:v>
      </x:c>
      <x:c r="M48" s="24" t="str">
        <x:v>VALID</x:v>
      </x:c>
      <x:c r="N48" s="24" t="str">
        <x:v>OBSERVED_OR_CALCULATED</x:v>
      </x:c>
      <x:c r="O48" s="24" t="str">
        <x:v>符合Stage 3计算门槛。</x:v>
      </x:c>
      <x:c r="P48" s="24" t="n">
        <x:v>1</x:v>
      </x:c>
      <x:c r="Q48" s="24"/>
      <x:c r="R48" s="24"/>
      <x:c r="S48" s="24" t="str">
        <x:v>读取公司层冻结确认PE/VC法律主体数。</x:v>
      </x:c>
      <x:c r="T48" s="24" t="str">
        <x:v>companies:001282</x:v>
      </x:c>
      <x:c r="U48" s="24"/>
      <x:c r="V48" s="24" t="str">
        <x:v>FROZEN_UNCHANGED</x:v>
      </x:c>
      <x:c r="W48" s="24" t="n">
        <x:v>0</x:v>
      </x:c>
    </x:row>
    <x:row r="49" ht="52" customHeight="1">
      <x:c r="A49" s="24" t="str">
        <x:v>001282|CV013</x:v>
      </x:c>
      <x:c r="B49" s="24" t="str">
        <x:v>001282</x:v>
      </x:c>
      <x:c r="C49" s="24" t="str">
        <x:v>三联锻造</x:v>
      </x:c>
      <x:c r="D49" s="24" t="str">
        <x:v>CV013</x:v>
      </x:c>
      <x:c r="E49" s="24" t="str">
        <x:v>确认PE/VC占直接主体比重</x:v>
      </x:c>
      <x:c r="F49" s="24" t="str">
        <x:v>PEVC参与</x:v>
      </x:c>
      <x:c r="G49" s="24" t="str">
        <x:v>B扩展</x:v>
      </x:c>
      <x:c r="H49" s="24" t="str">
        <x:v>RATIO</x:v>
      </x:c>
      <x:c r="I49" s="24" t="str">
        <x:v>0–1</x:v>
      </x:c>
      <x:c r="J49" s="24" t="str">
        <x:v>计算值+研究判断</x:v>
      </x:c>
      <x:c r="K49" s="24" t="str">
        <x:v>VALID</x:v>
      </x:c>
      <x:c r="L49" s="24" t="n">
        <x:v>0</x:v>
      </x:c>
      <x:c r="M49" s="24" t="str">
        <x:v>VALID</x:v>
      </x:c>
      <x:c r="N49" s="24" t="str">
        <x:v>OBSERVED_OR_CALCULATED</x:v>
      </x:c>
      <x:c r="O49" s="24" t="str">
        <x:v>符合Stage 3计算门槛。</x:v>
      </x:c>
      <x:c r="P49" s="24" t="n">
        <x:v>1</x:v>
      </x:c>
      <x:c r="Q49" s="24"/>
      <x:c r="R49" s="24"/>
      <x:c r="S49" s="24" t="str">
        <x:v>确认PE/VC法律主体数/直接参与法律主体数。</x:v>
      </x:c>
      <x:c r="T49" s="24" t="str">
        <x:v>companies:001282</x:v>
      </x:c>
      <x:c r="U49" s="24"/>
      <x:c r="V49" s="24" t="str">
        <x:v>FROZEN_UNCHANGED</x:v>
      </x:c>
      <x:c r="W49" s="24" t="n">
        <x:v>0</x:v>
      </x:c>
    </x:row>
    <x:row r="50" ht="52" customHeight="1">
      <x:c r="A50" s="24" t="str">
        <x:v>001282|CV014</x:v>
      </x:c>
      <x:c r="B50" s="24" t="str">
        <x:v>001282</x:v>
      </x:c>
      <x:c r="C50" s="24" t="str">
        <x:v>三联锻造</x:v>
      </x:c>
      <x:c r="D50" s="24" t="str">
        <x:v>CV014</x:v>
      </x:c>
      <x:c r="E50" s="24" t="str">
        <x:v>确认PE/VC参与融资轮数</x:v>
      </x:c>
      <x:c r="F50" s="24" t="str">
        <x:v>PEVC参与深度</x:v>
      </x:c>
      <x:c r="G50" s="24" t="str">
        <x:v>B扩展</x:v>
      </x:c>
      <x:c r="H50" s="24" t="str">
        <x:v>INTEGER</x:v>
      </x:c>
      <x:c r="I50" s="24" t="str">
        <x:v>轮</x:v>
      </x:c>
      <x:c r="J50" s="24" t="str">
        <x:v>研究判断派生</x:v>
      </x:c>
      <x:c r="K50" s="24" t="str">
        <x:v>VALID</x:v>
      </x:c>
      <x:c r="L50" s="24" t="n">
        <x:v>0</x:v>
      </x:c>
      <x:c r="M50" s="24" t="str">
        <x:v>VALID</x:v>
      </x:c>
      <x:c r="N50" s="24" t="str">
        <x:v>OBSERVED_OR_CALCULATED</x:v>
      </x:c>
      <x:c r="O50" s="24" t="str">
        <x:v>符合Stage 3计算门槛。</x:v>
      </x:c>
      <x:c r="P50" s="24" t="n">
        <x:v>1</x:v>
      </x:c>
      <x:c r="Q50" s="24"/>
      <x:c r="R50" s="24"/>
      <x:c r="S50" s="24" t="str">
        <x:v>公司层确认PE/VC数为0，因此确认PE/VC参与融资轮数为0。</x:v>
      </x:c>
      <x:c r="T50" s="24" t="str">
        <x:v>companies:001282</x:v>
      </x:c>
      <x:c r="U50" s="24"/>
      <x:c r="V50" s="24" t="str">
        <x:v>FROZEN_UNCHANGED</x:v>
      </x:c>
      <x:c r="W50" s="24" t="n">
        <x:v>0</x:v>
      </x:c>
    </x:row>
    <x:row r="51" ht="52" customHeight="1">
      <x:c r="A51" s="24" t="str">
        <x:v>001282|CV015</x:v>
      </x:c>
      <x:c r="B51" s="24" t="str">
        <x:v>001282</x:v>
      </x:c>
      <x:c r="C51" s="24" t="str">
        <x:v>三联锻造</x:v>
      </x:c>
      <x:c r="D51" s="24" t="str">
        <x:v>CV015</x:v>
      </x:c>
      <x:c r="E51" s="24" t="str">
        <x:v>首次确认PE/VC进入日期</x:v>
      </x:c>
      <x:c r="F51" s="24" t="str">
        <x:v>PEVC进入时点</x:v>
      </x:c>
      <x:c r="G51" s="24" t="str">
        <x:v>A核心</x:v>
      </x:c>
      <x:c r="H51" s="24" t="str">
        <x:v>DATE_OR_MONTH</x:v>
      </x:c>
      <x:c r="I51" s="24" t="str">
        <x:v>日期或年月</x:v>
      </x:c>
      <x:c r="J51" s="24" t="str">
        <x:v>研究判断派生</x:v>
      </x:c>
      <x:c r="K51" s="24" t="str">
        <x:v>STRUCTURAL_NA</x:v>
      </x:c>
      <x:c r="L51" s="24"/>
      <x:c r="M51" s="24" t="str">
        <x:v>STRUCTURAL_NA</x:v>
      </x:c>
      <x:c r="N51" s="24" t="str">
        <x:v>STRUCTURAL_NA_NO_CONFIRMED_PEVC</x:v>
      </x:c>
      <x:c r="O51" s="24" t="str">
        <x:v>公司没有确认PE/VC法律主体。</x:v>
      </x:c>
      <x:c r="P51" s="24" t="n">
        <x:v>0</x:v>
      </x:c>
      <x:c r="Q51" s="24"/>
      <x:c r="R51" s="24"/>
      <x:c r="S51" s="24" t="str">
        <x:v>首次确认PE/VC进入日期不适用。</x:v>
      </x:c>
      <x:c r="T51" s="24" t="str">
        <x:v>companies:001282</x:v>
      </x:c>
      <x:c r="U51" s="24"/>
      <x:c r="V51" s="24" t="str">
        <x:v>FROZEN_UNCHANGED</x:v>
      </x:c>
      <x:c r="W51" s="24" t="n">
        <x:v>0</x:v>
      </x:c>
    </x:row>
    <x:row r="52" ht="52" customHeight="1">
      <x:c r="A52" s="24" t="str">
        <x:v>001282|CV016</x:v>
      </x:c>
      <x:c r="B52" s="24" t="str">
        <x:v>001282</x:v>
      </x:c>
      <x:c r="C52" s="24" t="str">
        <x:v>三联锻造</x:v>
      </x:c>
      <x:c r="D52" s="24" t="str">
        <x:v>CV016</x:v>
      </x:c>
      <x:c r="E52" s="24" t="str">
        <x:v>首次确认PE/VC进入年份</x:v>
      </x:c>
      <x:c r="F52" s="24" t="str">
        <x:v>PEVC进入时点</x:v>
      </x:c>
      <x:c r="G52" s="24" t="str">
        <x:v>B扩展</x:v>
      </x:c>
      <x:c r="H52" s="24" t="str">
        <x:v>INTEGER</x:v>
      </x:c>
      <x:c r="I52" s="24" t="str">
        <x:v>年</x:v>
      </x:c>
      <x:c r="J52" s="24" t="str">
        <x:v>计算值+研究判断</x:v>
      </x:c>
      <x:c r="K52" s="24" t="str">
        <x:v>STRUCTURAL_NA</x:v>
      </x:c>
      <x:c r="L52" s="24"/>
      <x:c r="M52" s="24" t="str">
        <x:v>STRUCTURAL_NA</x:v>
      </x:c>
      <x:c r="N52" s="24" t="str">
        <x:v>STRUCTURAL_NA_NO_CONFIRMED_PEVC</x:v>
      </x:c>
      <x:c r="O52" s="24" t="str">
        <x:v>公司没有确认PE/VC法律主体。</x:v>
      </x:c>
      <x:c r="P52" s="24" t="n">
        <x:v>0</x:v>
      </x:c>
      <x:c r="Q52" s="24"/>
      <x:c r="R52" s="24"/>
      <x:c r="S52" s="24" t="str">
        <x:v>首次确认PE/VC进入年份不适用。</x:v>
      </x:c>
      <x:c r="T52" s="24" t="str">
        <x:v>companies:001282</x:v>
      </x:c>
      <x:c r="U52" s="24"/>
      <x:c r="V52" s="24" t="str">
        <x:v>FROZEN_UNCHANGED</x:v>
      </x:c>
      <x:c r="W52" s="24" t="n">
        <x:v>0</x:v>
      </x:c>
    </x:row>
    <x:row r="53" ht="52" customHeight="1">
      <x:c r="A53" s="24" t="str">
        <x:v>001282|CV017</x:v>
      </x:c>
      <x:c r="B53" s="24" t="str">
        <x:v>001282</x:v>
      </x:c>
      <x:c r="C53" s="24" t="str">
        <x:v>三联锻造</x:v>
      </x:c>
      <x:c r="D53" s="24" t="str">
        <x:v>CV017</x:v>
      </x:c>
      <x:c r="E53" s="24" t="str">
        <x:v>首次确认PE/VC融资轮位置</x:v>
      </x:c>
      <x:c r="F53" s="24" t="str">
        <x:v>PEVC进入时点</x:v>
      </x:c>
      <x:c r="G53" s="24" t="str">
        <x:v>B扩展</x:v>
      </x:c>
      <x:c r="H53" s="24" t="str">
        <x:v>RATIO</x:v>
      </x:c>
      <x:c r="I53" s="24" t="str">
        <x:v>0–1</x:v>
      </x:c>
      <x:c r="J53" s="24" t="str">
        <x:v>研究判断派生</x:v>
      </x:c>
      <x:c r="K53" s="24" t="str">
        <x:v>STRUCTURAL_NA</x:v>
      </x:c>
      <x:c r="L53" s="24"/>
      <x:c r="M53" s="24" t="str">
        <x:v>STRUCTURAL_NA</x:v>
      </x:c>
      <x:c r="N53" s="24" t="str">
        <x:v>STRUCTURAL_NA_NO_CONFIRMED_PEVC</x:v>
      </x:c>
      <x:c r="O53" s="24" t="str">
        <x:v>公司没有确认PE/VC法律主体。</x:v>
      </x:c>
      <x:c r="P53" s="24" t="n">
        <x:v>0</x:v>
      </x:c>
      <x:c r="Q53" s="24"/>
      <x:c r="R53" s="24"/>
      <x:c r="S53" s="24" t="str">
        <x:v>首次确认PE/VC融资轮位置不适用。</x:v>
      </x:c>
      <x:c r="T53" s="24" t="str">
        <x:v>companies:001282</x:v>
      </x:c>
      <x:c r="U53" s="24"/>
      <x:c r="V53" s="24" t="str">
        <x:v>FROZEN_UNCHANGED</x:v>
      </x:c>
      <x:c r="W53" s="24" t="n">
        <x:v>0</x:v>
      </x:c>
    </x:row>
    <x:row r="54" ht="52" customHeight="1">
      <x:c r="A54" s="24" t="str">
        <x:v>001282|CV018</x:v>
      </x:c>
      <x:c r="B54" s="24" t="str">
        <x:v>001282</x:v>
      </x:c>
      <x:c r="C54" s="24" t="str">
        <x:v>三联锻造</x:v>
      </x:c>
      <x:c r="D54" s="24" t="str">
        <x:v>CV018</x:v>
      </x:c>
      <x:c r="E54" s="24" t="str">
        <x:v>确认PE/VC间接路径标记</x:v>
      </x:c>
      <x:c r="F54" s="24" t="str">
        <x:v>投资路径复杂度</x:v>
      </x:c>
      <x:c r="G54" s="24" t="str">
        <x:v>B扩展</x:v>
      </x:c>
      <x:c r="H54" s="24" t="str">
        <x:v>BINARY</x:v>
      </x:c>
      <x:c r="I54" s="24" t="str">
        <x:v>0/1</x:v>
      </x:c>
      <x:c r="J54" s="24" t="str">
        <x:v>研究判断派生</x:v>
      </x:c>
      <x:c r="K54" s="24" t="str">
        <x:v>VALID</x:v>
      </x:c>
      <x:c r="L54" s="24" t="n">
        <x:v>0</x:v>
      </x:c>
      <x:c r="M54" s="24" t="str">
        <x:v>VALID</x:v>
      </x:c>
      <x:c r="N54" s="24" t="str">
        <x:v>OBSERVED_OR_CALCULATED</x:v>
      </x:c>
      <x:c r="O54" s="24" t="str">
        <x:v>符合Stage 3计算门槛。</x:v>
      </x:c>
      <x:c r="P54" s="24" t="n">
        <x:v>1</x:v>
      </x:c>
      <x:c r="Q54" s="24"/>
      <x:c r="R54" s="24"/>
      <x:c r="S54" s="24" t="str">
        <x:v>公司层确认PE/VC数为0，因此不存在确认PE/VC间接路径。</x:v>
      </x:c>
      <x:c r="T54" s="24" t="str">
        <x:v>companies:001282</x:v>
      </x:c>
      <x:c r="U54" s="24"/>
      <x:c r="V54" s="24" t="str">
        <x:v>FROZEN_UNCHANGED</x:v>
      </x:c>
      <x:c r="W54" s="24" t="n">
        <x:v>0</x:v>
      </x:c>
    </x:row>
    <x:row r="55" ht="52" customHeight="1">
      <x:c r="A55" s="24" t="str">
        <x:v>001282|CV019</x:v>
      </x:c>
      <x:c r="B55" s="24" t="str">
        <x:v>001282</x:v>
      </x:c>
      <x:c r="C55" s="24" t="str">
        <x:v>三联锻造</x:v>
      </x:c>
      <x:c r="D55" s="24" t="str">
        <x:v>CV019</x:v>
      </x:c>
      <x:c r="E55" s="24" t="str">
        <x:v>确认PE/VC进入方式多样性</x:v>
      </x:c>
      <x:c r="F55" s="24" t="str">
        <x:v>PEVC进入方式</x:v>
      </x:c>
      <x:c r="G55" s="24" t="str">
        <x:v>B扩展</x:v>
      </x:c>
      <x:c r="H55" s="24" t="str">
        <x:v>INTEGER</x:v>
      </x:c>
      <x:c r="I55" s="24" t="str">
        <x:v>种</x:v>
      </x:c>
      <x:c r="J55" s="24" t="str">
        <x:v>研究判断派生</x:v>
      </x:c>
      <x:c r="K55" s="24" t="str">
        <x:v>VALID</x:v>
      </x:c>
      <x:c r="L55" s="24" t="n">
        <x:v>0</x:v>
      </x:c>
      <x:c r="M55" s="24" t="str">
        <x:v>VALID</x:v>
      </x:c>
      <x:c r="N55" s="24" t="str">
        <x:v>OBSERVED_OR_CALCULATED</x:v>
      </x:c>
      <x:c r="O55" s="24" t="str">
        <x:v>符合Stage 3计算门槛。</x:v>
      </x:c>
      <x:c r="P55" s="24" t="n">
        <x:v>1</x:v>
      </x:c>
      <x:c r="Q55" s="24"/>
      <x:c r="R55" s="24"/>
      <x:c r="S55" s="24" t="str">
        <x:v>公司层确认PE/VC数为0，因此进入方式种类为0。</x:v>
      </x:c>
      <x:c r="T55" s="24" t="str">
        <x:v>companies:001282</x:v>
      </x:c>
      <x:c r="U55" s="24"/>
      <x:c r="V55" s="24" t="str">
        <x:v>FROZEN_UNCHANGED</x:v>
      </x:c>
      <x:c r="W55" s="24" t="n">
        <x:v>0</x:v>
      </x:c>
    </x:row>
    <x:row r="56" ht="52" customHeight="1">
      <x:c r="A56" s="24" t="str">
        <x:v>001282|CV020</x:v>
      </x:c>
      <x:c r="B56" s="24" t="str">
        <x:v>001282</x:v>
      </x:c>
      <x:c r="C56" s="24" t="str">
        <x:v>三联锻造</x:v>
      </x:c>
      <x:c r="D56" s="24" t="str">
        <x:v>CV020</x:v>
      </x:c>
      <x:c r="E56" s="24" t="str">
        <x:v>直接参与法律主体数</x:v>
      </x:c>
      <x:c r="F56" s="24" t="str">
        <x:v>参与结构规模</x:v>
      </x:c>
      <x:c r="G56" s="24" t="str">
        <x:v>A核心</x:v>
      </x:c>
      <x:c r="H56" s="24" t="str">
        <x:v>INTEGER</x:v>
      </x:c>
      <x:c r="I56" s="24" t="str">
        <x:v>个</x:v>
      </x:c>
      <x:c r="J56" s="24" t="str">
        <x:v>计算值</x:v>
      </x:c>
      <x:c r="K56" s="24" t="str">
        <x:v>VALID</x:v>
      </x:c>
      <x:c r="L56" s="24" t="n">
        <x:v>1</x:v>
      </x:c>
      <x:c r="M56" s="24" t="str">
        <x:v>VALID</x:v>
      </x:c>
      <x:c r="N56" s="24" t="str">
        <x:v>OBSERVED_OR_CALCULATED</x:v>
      </x:c>
      <x:c r="O56" s="24" t="str">
        <x:v>符合Stage 3计算门槛。</x:v>
      </x:c>
      <x:c r="P56" s="24" t="n">
        <x:v>0</x:v>
      </x:c>
      <x:c r="Q56" s="24"/>
      <x:c r="R56" s="24"/>
      <x:c r="S56" s="24" t="str">
        <x:v>读取公司层冻结直接参与法律主体数。</x:v>
      </x:c>
      <x:c r="T56" s="24" t="str">
        <x:v>companies:001282</x:v>
      </x:c>
      <x:c r="U56" s="24"/>
      <x:c r="V56" s="24" t="str">
        <x:v>FROZEN_UNCHANGED</x:v>
      </x:c>
      <x:c r="W56" s="24" t="n">
        <x:v>0</x:v>
      </x:c>
    </x:row>
    <x:row r="57" ht="52" customHeight="1">
      <x:c r="A57" s="24" t="str">
        <x:v>001282|CV021</x:v>
      </x:c>
      <x:c r="B57" s="24" t="str">
        <x:v>001282</x:v>
      </x:c>
      <x:c r="C57" s="24" t="str">
        <x:v>三联锻造</x:v>
      </x:c>
      <x:c r="D57" s="24" t="str">
        <x:v>CV021</x:v>
      </x:c>
      <x:c r="E57" s="24" t="str">
        <x:v>融资投资方法律主体数</x:v>
      </x:c>
      <x:c r="F57" s="24" t="str">
        <x:v>融资参与广度</x:v>
      </x:c>
      <x:c r="G57" s="24" t="str">
        <x:v>B扩展</x:v>
      </x:c>
      <x:c r="H57" s="24" t="str">
        <x:v>INTEGER</x:v>
      </x:c>
      <x:c r="I57" s="24" t="str">
        <x:v>个</x:v>
      </x:c>
      <x:c r="J57" s="24" t="str">
        <x:v>计算值</x:v>
      </x:c>
      <x:c r="K57" s="24" t="str">
        <x:v>VALID</x:v>
      </x:c>
      <x:c r="L57" s="24" t="n">
        <x:v>1</x:v>
      </x:c>
      <x:c r="M57" s="24" t="str">
        <x:v>VALID</x:v>
      </x:c>
      <x:c r="N57" s="24" t="str">
        <x:v>OBSERVED_OR_CALCULATED</x:v>
      </x:c>
      <x:c r="O57" s="24" t="str">
        <x:v>符合Stage 3计算门槛。</x:v>
      </x:c>
      <x:c r="P57" s="24" t="n">
        <x:v>0</x:v>
      </x:c>
      <x:c r="Q57" s="24" t="str">
        <x:v>ENTITY_NAME_CROSSWALK_LIMITATION</x:v>
      </x:c>
      <x:c r="R57" s="24" t="str">
        <x:v>稳定ID足以计数，但部分PTY名称及PTY↔INV crosswalk未恢复，不能做名称级网络解释。</x:v>
      </x:c>
      <x:c r="S57" s="24" t="str">
        <x:v>融资轮相关交易中筛选INVESTOR，canonical_entity_id优先、否则entity_id去重。</x:v>
      </x:c>
      <x:c r="T57" s="24" t="str">
        <x:v>TRX-001282-0003-01-P01</x:v>
      </x:c>
      <x:c r="U57" s="24"/>
      <x:c r="V57" s="24" t="str">
        <x:v>FROZEN_UNCHANGED</x:v>
      </x:c>
      <x:c r="W57" s="24" t="n">
        <x:v>1</x:v>
      </x:c>
    </x:row>
    <x:row r="58" ht="52" customHeight="1">
      <x:c r="A58" s="24" t="str">
        <x:v>001282|CV022</x:v>
      </x:c>
      <x:c r="B58" s="24" t="str">
        <x:v>001282</x:v>
      </x:c>
      <x:c r="C58" s="24" t="str">
        <x:v>三联锻造</x:v>
      </x:c>
      <x:c r="D58" s="24" t="str">
        <x:v>CV022</x:v>
      </x:c>
      <x:c r="E58" s="24" t="str">
        <x:v>每轮融资投资方密度</x:v>
      </x:c>
      <x:c r="F58" s="24" t="str">
        <x:v>融资参与密度</x:v>
      </x:c>
      <x:c r="G58" s="24" t="str">
        <x:v>B扩展</x:v>
      </x:c>
      <x:c r="H58" s="24" t="str">
        <x:v>RATIO</x:v>
      </x:c>
      <x:c r="I58" s="24" t="str">
        <x:v>个/轮</x:v>
      </x:c>
      <x:c r="J58" s="24" t="str">
        <x:v>计算值</x:v>
      </x:c>
      <x:c r="K58" s="24" t="str">
        <x:v>VALID</x:v>
      </x:c>
      <x:c r="L58" s="24" t="n">
        <x:v>1</x:v>
      </x:c>
      <x:c r="M58" s="24" t="str">
        <x:v>VALID</x:v>
      </x:c>
      <x:c r="N58" s="24" t="str">
        <x:v>OBSERVED_OR_CALCULATED</x:v>
      </x:c>
      <x:c r="O58" s="24" t="str">
        <x:v>符合Stage 3计算门槛。</x:v>
      </x:c>
      <x:c r="P58" s="24" t="n">
        <x:v>0</x:v>
      </x:c>
      <x:c r="Q58" s="24" t="str">
        <x:v>ENTITY_NAME_CROSSWALK_LIMITATION</x:v>
      </x:c>
      <x:c r="R58" s="24" t="str">
        <x:v>稳定ID足以计数，但部分PTY名称及PTY↔INV crosswalk未恢复，不能做名称级网络解释。</x:v>
      </x:c>
      <x:c r="S58" s="24" t="str">
        <x:v>融资投资方法律主体数/融资轮数。</x:v>
      </x:c>
      <x:c r="T58" s="24" t="str">
        <x:v>TRX-001282-0003-01-P01</x:v>
      </x:c>
      <x:c r="U58" s="24"/>
      <x:c r="V58" s="24" t="str">
        <x:v>FROZEN_UNCHANGED</x:v>
      </x:c>
      <x:c r="W58" s="24" t="n">
        <x:v>1</x:v>
      </x:c>
    </x:row>
    <x:row r="59" ht="52" customHeight="1">
      <x:c r="A59" s="24" t="str">
        <x:v>001282|CV023</x:v>
      </x:c>
      <x:c r="B59" s="24" t="str">
        <x:v>001282</x:v>
      </x:c>
      <x:c r="C59" s="24" t="str">
        <x:v>三联锻造</x:v>
      </x:c>
      <x:c r="D59" s="24" t="str">
        <x:v>CV023</x:v>
      </x:c>
      <x:c r="E59" s="24" t="str">
        <x:v>融资方式多样性</x:v>
      </x:c>
      <x:c r="F59" s="24" t="str">
        <x:v>融资机制</x:v>
      </x:c>
      <x:c r="G59" s="24" t="str">
        <x:v>B扩展</x:v>
      </x:c>
      <x:c r="H59" s="24" t="str">
        <x:v>INTEGER</x:v>
      </x:c>
      <x:c r="I59" s="24" t="str">
        <x:v>种</x:v>
      </x:c>
      <x:c r="J59" s="24" t="str">
        <x:v>计算值</x:v>
      </x:c>
      <x:c r="K59" s="24" t="str">
        <x:v>VALID</x:v>
      </x:c>
      <x:c r="L59" s="24" t="n">
        <x:v>1</x:v>
      </x:c>
      <x:c r="M59" s="24" t="str">
        <x:v>VALID</x:v>
      </x:c>
      <x:c r="N59" s="24" t="str">
        <x:v>OBSERVED_OR_CALCULATED</x:v>
      </x:c>
      <x:c r="O59" s="24" t="str">
        <x:v>符合Stage 3计算门槛。</x:v>
      </x:c>
      <x:c r="P59" s="24" t="n">
        <x:v>0</x:v>
      </x:c>
      <x:c r="Q59" s="24"/>
      <x:c r="R59" s="24"/>
      <x:c r="S59" s="24" t="str">
        <x:v>融资交易组成标准化方式=['CAPITAL_INCREASE']。</x:v>
      </x:c>
      <x:c r="T59" s="24" t="str">
        <x:v>TRX-001282-0003-01</x:v>
      </x:c>
      <x:c r="U59" s="24"/>
      <x:c r="V59" s="24" t="str">
        <x:v>FROZEN_UNCHANGED</x:v>
      </x:c>
      <x:c r="W59" s="24" t="n">
        <x:v>0</x:v>
      </x:c>
    </x:row>
    <x:row r="60" ht="52" customHeight="1">
      <x:c r="A60" s="24" t="str">
        <x:v>001282|CV024</x:v>
      </x:c>
      <x:c r="B60" s="24" t="str">
        <x:v>001282</x:v>
      </x:c>
      <x:c r="C60" s="24" t="str">
        <x:v>三联锻造</x:v>
      </x:c>
      <x:c r="D60" s="24" t="str">
        <x:v>CV024</x:v>
      </x:c>
      <x:c r="E60" s="24" t="str">
        <x:v>股权转让交易数</x:v>
      </x:c>
      <x:c r="F60" s="24" t="str">
        <x:v>二级股权流动</x:v>
      </x:c>
      <x:c r="G60" s="24" t="str">
        <x:v>A核心</x:v>
      </x:c>
      <x:c r="H60" s="24" t="str">
        <x:v>INTEGER</x:v>
      </x:c>
      <x:c r="I60" s="24" t="str">
        <x:v>笔</x:v>
      </x:c>
      <x:c r="J60" s="24" t="str">
        <x:v>计算值</x:v>
      </x:c>
      <x:c r="K60" s="24" t="str">
        <x:v>VALID</x:v>
      </x:c>
      <x:c r="L60" s="24" t="n">
        <x:v>0</x:v>
      </x:c>
      <x:c r="M60" s="24" t="str">
        <x:v>VALID</x:v>
      </x:c>
      <x:c r="N60" s="24" t="str">
        <x:v>OBSERVED_OR_CALCULATED</x:v>
      </x:c>
      <x:c r="O60" s="24" t="str">
        <x:v>符合Stage 3计算门槛。</x:v>
      </x:c>
      <x:c r="P60" s="24" t="n">
        <x:v>1</x:v>
      </x:c>
      <x:c r="Q60" s="24"/>
      <x:c r="R60" s="24"/>
      <x:c r="S60" s="24" t="str">
        <x:v>按EQUITY_TRANSFER交易记录计数。</x:v>
      </x:c>
      <x:c r="T60" s="24"/>
      <x:c r="U60" s="24"/>
      <x:c r="V60" s="24" t="str">
        <x:v>FROZEN_UNCHANGED</x:v>
      </x:c>
      <x:c r="W60" s="24" t="n">
        <x:v>0</x:v>
      </x:c>
    </x:row>
    <x:row r="61" ht="52" customHeight="1">
      <x:c r="A61" s="24" t="str">
        <x:v>001282|CV025</x:v>
      </x:c>
      <x:c r="B61" s="24" t="str">
        <x:v>001282</x:v>
      </x:c>
      <x:c r="C61" s="24" t="str">
        <x:v>三联锻造</x:v>
      </x:c>
      <x:c r="D61" s="24" t="str">
        <x:v>CV025</x:v>
      </x:c>
      <x:c r="E61" s="24" t="str">
        <x:v>可核验股权转让对价下限</x:v>
      </x:c>
      <x:c r="F61" s="24" t="str">
        <x:v>二级股权流动</x:v>
      </x:c>
      <x:c r="G61" s="24" t="str">
        <x:v>A核心</x:v>
      </x:c>
      <x:c r="H61" s="24" t="str">
        <x:v>CONTINUOUS</x:v>
      </x:c>
      <x:c r="I61" s="24" t="str">
        <x:v>万元人民币</x:v>
      </x:c>
      <x:c r="J61" s="24" t="str">
        <x:v>标准化值+计算值</x:v>
      </x:c>
      <x:c r="K61" s="24" t="str">
        <x:v>STRUCTURAL_NA</x:v>
      </x:c>
      <x:c r="L61" s="24"/>
      <x:c r="M61" s="24" t="str">
        <x:v>STRUCTURAL_NA</x:v>
      </x:c>
      <x:c r="N61" s="24" t="str">
        <x:v>STRUCTURAL_NA_TRANSFER_NOT_APPLICABLE</x:v>
      </x:c>
      <x:c r="O61" s="24" t="str">
        <x:v>公司层转让金额状态为NOT_APPLICABLE。</x:v>
      </x:c>
      <x:c r="P61" s="24" t="n">
        <x:v>0</x:v>
      </x:c>
      <x:c r="Q61" s="24"/>
      <x:c r="R61" s="24"/>
      <x:c r="S61" s="24" t="str">
        <x:v>不将不适用金额补0。</x:v>
      </x:c>
      <x:c r="T61" s="24" t="str">
        <x:v>companies:001282</x:v>
      </x:c>
      <x:c r="U61" s="24"/>
      <x:c r="V61" s="24" t="str">
        <x:v>FROZEN_UNCHANGED</x:v>
      </x:c>
      <x:c r="W61" s="24" t="n">
        <x:v>0</x:v>
      </x:c>
    </x:row>
    <x:row r="62" ht="52" customHeight="1">
      <x:c r="A62" s="24" t="str">
        <x:v>001282|CV026</x:v>
      </x:c>
      <x:c r="B62" s="24" t="str">
        <x:v>001282</x:v>
      </x:c>
      <x:c r="C62" s="24" t="str">
        <x:v>三联锻造</x:v>
      </x:c>
      <x:c r="D62" s="24" t="str">
        <x:v>CV026</x:v>
      </x:c>
      <x:c r="E62" s="24" t="str">
        <x:v>转让对价与融资金额比</x:v>
      </x:c>
      <x:c r="F62" s="24" t="str">
        <x:v>二级股权流动</x:v>
      </x:c>
      <x:c r="G62" s="24" t="str">
        <x:v>B扩展</x:v>
      </x:c>
      <x:c r="H62" s="24" t="str">
        <x:v>RATIO</x:v>
      </x:c>
      <x:c r="I62" s="24" t="str">
        <x:v>0–∞</x:v>
      </x:c>
      <x:c r="J62" s="24" t="str">
        <x:v>计算值</x:v>
      </x:c>
      <x:c r="K62" s="24" t="str">
        <x:v>STRUCTURAL_NA</x:v>
      </x:c>
      <x:c r="L62" s="24"/>
      <x:c r="M62" s="24" t="str">
        <x:v>STRUCTURAL_NA</x:v>
      </x:c>
      <x:c r="N62" s="24" t="str">
        <x:v>STRUCTURAL_NA_TRANSFER_NOT_APPLICABLE</x:v>
      </x:c>
      <x:c r="O62" s="24" t="str">
        <x:v>转让金额不适用，因此转让/融资比率不适用。</x:v>
      </x:c>
      <x:c r="P62" s="24" t="n">
        <x:v>0</x:v>
      </x:c>
      <x:c r="Q62" s="24"/>
      <x:c r="R62" s="24"/>
      <x:c r="S62" s="24" t="str">
        <x:v>不将不适用比率补0。</x:v>
      </x:c>
      <x:c r="T62" s="24" t="str">
        <x:v>companies:001282</x:v>
      </x:c>
      <x:c r="U62" s="24"/>
      <x:c r="V62" s="24" t="str">
        <x:v>FROZEN_UNCHANGED</x:v>
      </x:c>
      <x:c r="W62" s="24" t="n">
        <x:v>0</x:v>
      </x:c>
    </x:row>
    <x:row r="63" ht="52" customHeight="1">
      <x:c r="A63" s="24" t="str">
        <x:v>001282|CV027</x:v>
      </x:c>
      <x:c r="B63" s="24" t="str">
        <x:v>001282</x:v>
      </x:c>
      <x:c r="C63" s="24" t="str">
        <x:v>三联锻造</x:v>
      </x:c>
      <x:c r="D63" s="24" t="str">
        <x:v>CV027</x:v>
      </x:c>
      <x:c r="E63" s="24" t="str">
        <x:v>金额已知融资轮数</x:v>
      </x:c>
      <x:c r="F63" s="24" t="str">
        <x:v>数据可用性</x:v>
      </x:c>
      <x:c r="G63" s="24" t="str">
        <x:v>Q质量</x:v>
      </x:c>
      <x:c r="H63" s="24" t="str">
        <x:v>INTEGER</x:v>
      </x:c>
      <x:c r="I63" s="24" t="str">
        <x:v>轮</x:v>
      </x:c>
      <x:c r="J63" s="24" t="str">
        <x:v>计算值</x:v>
      </x:c>
      <x:c r="K63" s="24" t="str">
        <x:v>VALID</x:v>
      </x:c>
      <x:c r="L63" s="24" t="n">
        <x:v>1</x:v>
      </x:c>
      <x:c r="M63" s="24" t="str">
        <x:v>VALID</x:v>
      </x:c>
      <x:c r="N63" s="24" t="str">
        <x:v>OBSERVED_OR_CALCULATED</x:v>
      </x:c>
      <x:c r="O63" s="24" t="str">
        <x:v>符合Stage 3计算门槛。</x:v>
      </x:c>
      <x:c r="P63" s="24" t="n">
        <x:v>0</x:v>
      </x:c>
      <x:c r="Q63" s="24"/>
      <x:c r="R63" s="24"/>
      <x:c r="S63" s="24" t="str">
        <x:v>融资轮中金额非null记录数。</x:v>
      </x:c>
      <x:c r="T63" s="24" t="str">
        <x:v>EVT-001282-0003</x:v>
      </x:c>
      <x:c r="U63" s="24"/>
      <x:c r="V63" s="24" t="str">
        <x:v>FROZEN_UNCHANGED</x:v>
      </x:c>
      <x:c r="W63" s="24" t="n">
        <x:v>0</x:v>
      </x:c>
    </x:row>
    <x:row r="64" ht="52" customHeight="1">
      <x:c r="A64" s="24" t="str">
        <x:v>001282|CV028</x:v>
      </x:c>
      <x:c r="B64" s="24" t="str">
        <x:v>001282</x:v>
      </x:c>
      <x:c r="C64" s="24" t="str">
        <x:v>三联锻造</x:v>
      </x:c>
      <x:c r="D64" s="24" t="str">
        <x:v>CV028</x:v>
      </x:c>
      <x:c r="E64" s="24" t="str">
        <x:v>融资轮金额覆盖率</x:v>
      </x:c>
      <x:c r="F64" s="24" t="str">
        <x:v>数据可用性</x:v>
      </x:c>
      <x:c r="G64" s="24" t="str">
        <x:v>Q质量</x:v>
      </x:c>
      <x:c r="H64" s="24" t="str">
        <x:v>RATIO</x:v>
      </x:c>
      <x:c r="I64" s="24" t="str">
        <x:v>0–1</x:v>
      </x:c>
      <x:c r="J64" s="24" t="str">
        <x:v>计算值</x:v>
      </x:c>
      <x:c r="K64" s="24" t="str">
        <x:v>VALID</x:v>
      </x:c>
      <x:c r="L64" s="24" t="n">
        <x:v>1</x:v>
      </x:c>
      <x:c r="M64" s="24" t="str">
        <x:v>VALID</x:v>
      </x:c>
      <x:c r="N64" s="24" t="str">
        <x:v>OBSERVED_OR_CALCULATED</x:v>
      </x:c>
      <x:c r="O64" s="24" t="str">
        <x:v>符合Stage 3计算门槛。</x:v>
      </x:c>
      <x:c r="P64" s="24" t="n">
        <x:v>0</x:v>
      </x:c>
      <x:c r="Q64" s="24"/>
      <x:c r="R64" s="24"/>
      <x:c r="S64" s="24" t="str">
        <x:v>金额非null融资轮数/融资轮总数。</x:v>
      </x:c>
      <x:c r="T64" s="24" t="str">
        <x:v>EVT-001282-0003</x:v>
      </x:c>
      <x:c r="U64" s="24"/>
      <x:c r="V64" s="24" t="str">
        <x:v>FROZEN_UNCHANGED</x:v>
      </x:c>
      <x:c r="W64" s="24" t="n">
        <x:v>0</x:v>
      </x:c>
    </x:row>
    <x:row r="65" ht="52" customHeight="1">
      <x:c r="A65" s="24" t="str">
        <x:v>001282|CV029</x:v>
      </x:c>
      <x:c r="B65" s="24" t="str">
        <x:v>001282</x:v>
      </x:c>
      <x:c r="C65" s="24" t="str">
        <x:v>三联锻造</x:v>
      </x:c>
      <x:c r="D65" s="24" t="str">
        <x:v>CV029</x:v>
      </x:c>
      <x:c r="E65" s="24" t="str">
        <x:v>融资轮日期覆盖率</x:v>
      </x:c>
      <x:c r="F65" s="24" t="str">
        <x:v>数据可用性</x:v>
      </x:c>
      <x:c r="G65" s="24" t="str">
        <x:v>Q质量</x:v>
      </x:c>
      <x:c r="H65" s="24" t="str">
        <x:v>RATIO</x:v>
      </x:c>
      <x:c r="I65" s="24" t="str">
        <x:v>0–1</x:v>
      </x:c>
      <x:c r="J65" s="24" t="str">
        <x:v>计算值</x:v>
      </x:c>
      <x:c r="K65" s="24" t="str">
        <x:v>VALID</x:v>
      </x:c>
      <x:c r="L65" s="24" t="n">
        <x:v>1</x:v>
      </x:c>
      <x:c r="M65" s="24" t="str">
        <x:v>VALID</x:v>
      </x:c>
      <x:c r="N65" s="24" t="str">
        <x:v>OBSERVED_OR_CALCULATED</x:v>
      </x:c>
      <x:c r="O65" s="24" t="str">
        <x:v>符合Stage 3计算门槛。</x:v>
      </x:c>
      <x:c r="P65" s="24" t="n">
        <x:v>0</x:v>
      </x:c>
      <x:c r="Q65" s="24"/>
      <x:c r="R65" s="24"/>
      <x:c r="S65" s="24" t="str">
        <x:v>DAY或MONTH精度融资轮数/融资轮总数。</x:v>
      </x:c>
      <x:c r="T65" s="24" t="str">
        <x:v>EVT-001282-0003</x:v>
      </x:c>
      <x:c r="U65" s="24"/>
      <x:c r="V65" s="24" t="str">
        <x:v>FROZEN_UNCHANGED</x:v>
      </x:c>
      <x:c r="W65" s="24" t="n">
        <x:v>0</x:v>
      </x:c>
    </x:row>
    <x:row r="66" ht="52" customHeight="1">
      <x:c r="A66" s="24" t="str">
        <x:v>001282|CV030</x:v>
      </x:c>
      <x:c r="B66" s="24" t="str">
        <x:v>001282</x:v>
      </x:c>
      <x:c r="C66" s="24" t="str">
        <x:v>三联锻造</x:v>
      </x:c>
      <x:c r="D66" s="24" t="str">
        <x:v>CV030</x:v>
      </x:c>
      <x:c r="E66" s="24" t="str">
        <x:v>计算型轮次金额占比</x:v>
      </x:c>
      <x:c r="F66" s="24" t="str">
        <x:v>数值来源结构</x:v>
      </x:c>
      <x:c r="G66" s="24" t="str">
        <x:v>Q质量</x:v>
      </x:c>
      <x:c r="H66" s="24" t="str">
        <x:v>RATIO</x:v>
      </x:c>
      <x:c r="I66" s="24" t="str">
        <x:v>0–1</x:v>
      </x:c>
      <x:c r="J66" s="24" t="str">
        <x:v>计算值</x:v>
      </x:c>
      <x:c r="K66" s="24" t="str">
        <x:v>VALID</x:v>
      </x:c>
      <x:c r="L66" s="24" t="n">
        <x:v>1</x:v>
      </x:c>
      <x:c r="M66" s="24" t="str">
        <x:v>VALID</x:v>
      </x:c>
      <x:c r="N66" s="24" t="str">
        <x:v>OBSERVED_OR_CALCULATED</x:v>
      </x:c>
      <x:c r="O66" s="24" t="str">
        <x:v>符合Stage 3计算门槛。</x:v>
      </x:c>
      <x:c r="P66" s="24" t="n">
        <x:v>0</x:v>
      </x:c>
      <x:c r="Q66" s="24"/>
      <x:c r="R66" s="24"/>
      <x:c r="S66" s="24" t="str">
        <x:v>CALCULATED已知金额轮数/已知金额轮数。</x:v>
      </x:c>
      <x:c r="T66" s="24" t="str">
        <x:v>EVT-001282-0003</x:v>
      </x:c>
      <x:c r="U66" s="24"/>
      <x:c r="V66" s="24" t="str">
        <x:v>FROZEN_UNCHANGED</x:v>
      </x:c>
      <x:c r="W66" s="24" t="n">
        <x:v>0</x:v>
      </x:c>
    </x:row>
    <x:row r="67" ht="52" customHeight="1">
      <x:c r="A67" s="24" t="str">
        <x:v>001282|CV031</x:v>
      </x:c>
      <x:c r="B67" s="24" t="str">
        <x:v>001282</x:v>
      </x:c>
      <x:c r="C67" s="24" t="str">
        <x:v>三联锻造</x:v>
      </x:c>
      <x:c r="D67" s="24" t="str">
        <x:v>CV031</x:v>
      </x:c>
      <x:c r="E67" s="24" t="str">
        <x:v>每轮融资证据记录数</x:v>
      </x:c>
      <x:c r="F67" s="24" t="str">
        <x:v>证据密度</x:v>
      </x:c>
      <x:c r="G67" s="24" t="str">
        <x:v>Q质量</x:v>
      </x:c>
      <x:c r="H67" s="24" t="str">
        <x:v>RATIO</x:v>
      </x:c>
      <x:c r="I67" s="24" t="str">
        <x:v>条/轮</x:v>
      </x:c>
      <x:c r="J67" s="24" t="str">
        <x:v>计算值</x:v>
      </x:c>
      <x:c r="K67" s="24" t="str">
        <x:v>VALID</x:v>
      </x:c>
      <x:c r="L67" s="24" t="n">
        <x:v>2</x:v>
      </x:c>
      <x:c r="M67" s="24" t="str">
        <x:v>VALID</x:v>
      </x:c>
      <x:c r="N67" s="24" t="str">
        <x:v>OBSERVED_OR_CALCULATED</x:v>
      </x:c>
      <x:c r="O67" s="24" t="str">
        <x:v>符合Stage 3计算门槛。</x:v>
      </x:c>
      <x:c r="P67" s="24" t="n">
        <x:v>0</x:v>
      </x:c>
      <x:c r="Q67" s="24"/>
      <x:c r="R67" s="24"/>
      <x:c r="S67" s="24" t="str">
        <x:v>关联融资轮的去重evidence_id数/融资轮数。</x:v>
      </x:c>
      <x:c r="T67" s="24" t="str">
        <x:v>EVD-001282-0004-01; EVD-001282-0004-02</x:v>
      </x:c>
      <x:c r="U67" s="24"/>
      <x:c r="V67" s="24" t="str">
        <x:v>FROZEN_UNCHANGED</x:v>
      </x:c>
      <x:c r="W67" s="24" t="n">
        <x:v>0</x:v>
      </x:c>
    </x:row>
    <x:row r="68" ht="52" customHeight="1">
      <x:c r="A68" s="24" t="str">
        <x:v>001282|CV032</x:v>
      </x:c>
      <x:c r="B68" s="24" t="str">
        <x:v>001282</x:v>
      </x:c>
      <x:c r="C68" s="24" t="str">
        <x:v>三联锻造</x:v>
      </x:c>
      <x:c r="D68" s="24" t="str">
        <x:v>CV032</x:v>
      </x:c>
      <x:c r="E68" s="24" t="str">
        <x:v>公司级披露限制标记</x:v>
      </x:c>
      <x:c r="F68" s="24" t="str">
        <x:v>披露边界</x:v>
      </x:c>
      <x:c r="G68" s="24" t="str">
        <x:v>Q质量</x:v>
      </x:c>
      <x:c r="H68" s="24" t="str">
        <x:v>BINARY</x:v>
      </x:c>
      <x:c r="I68" s="24" t="str">
        <x:v>0/1</x:v>
      </x:c>
      <x:c r="J68" s="24" t="str">
        <x:v>研究判断派生</x:v>
      </x:c>
      <x:c r="K68" s="24" t="str">
        <x:v>VALID</x:v>
      </x:c>
      <x:c r="L68" s="24" t="n">
        <x:v>1</x:v>
      </x:c>
      <x:c r="M68" s="24" t="str">
        <x:v>VALID</x:v>
      </x:c>
      <x:c r="N68" s="24" t="str">
        <x:v>OBSERVED_OR_CALCULATED</x:v>
      </x:c>
      <x:c r="O68" s="24" t="str">
        <x:v>符合Stage 3计算门槛。</x:v>
      </x:c>
      <x:c r="P68" s="24" t="n">
        <x:v>0</x:v>
      </x:c>
      <x:c r="Q68" s="24"/>
      <x:c r="R68" s="24"/>
      <x:c r="S68" s="24" t="str">
        <x:v>FINAL_APPROVED公司记录中检查disclosure_limitation是否非空。</x:v>
      </x:c>
      <x:c r="T68" s="24" t="str">
        <x:v>companies:001282</x:v>
      </x:c>
      <x:c r="U68" s="24"/>
      <x:c r="V68" s="24" t="str">
        <x:v>FROZEN_UNCHANGED</x:v>
      </x:c>
      <x:c r="W68" s="24" t="n">
        <x:v>0</x:v>
      </x:c>
    </x:row>
    <x:row r="69" ht="52" customHeight="1">
      <x:c r="A69" s="24" t="str">
        <x:v>301581|CV001</x:v>
      </x:c>
      <x:c r="B69" s="24" t="str">
        <x:v>301581</x:v>
      </x:c>
      <x:c r="C69" s="24" t="str">
        <x:v>黄山谷捷</x:v>
      </x:c>
      <x:c r="D69" s="24" t="str">
        <x:v>CV001</x:v>
      </x:c>
      <x:c r="E69" s="24" t="str">
        <x:v>上市前直接股权融资发生标记</x:v>
      </x:c>
      <x:c r="F69" s="24" t="str">
        <x:v>融资经历</x:v>
      </x:c>
      <x:c r="G69" s="24" t="str">
        <x:v>A核心</x:v>
      </x:c>
      <x:c r="H69" s="24" t="str">
        <x:v>BINARY</x:v>
      </x:c>
      <x:c r="I69" s="24" t="str">
        <x:v>0/1</x:v>
      </x:c>
      <x:c r="J69" s="24" t="str">
        <x:v>研究判断派生</x:v>
      </x:c>
      <x:c r="K69" s="24" t="str">
        <x:v>VALID</x:v>
      </x:c>
      <x:c r="L69" s="24" t="n">
        <x:v>1</x:v>
      </x:c>
      <x:c r="M69" s="24" t="str">
        <x:v>VALID</x:v>
      </x:c>
      <x:c r="N69" s="24" t="str">
        <x:v>OBSERVED_OR_CALCULATED</x:v>
      </x:c>
      <x:c r="O69" s="24" t="str">
        <x:v>符合Stage 3计算门槛。</x:v>
      </x:c>
      <x:c r="P69" s="24" t="n">
        <x:v>0</x:v>
      </x:c>
      <x:c r="Q69" s="24"/>
      <x:c r="R69" s="24"/>
      <x:c r="S69" s="24" t="str">
        <x:v>financing_round_count=2，据此生成二元标记。</x:v>
      </x:c>
      <x:c r="T69" s="24" t="str">
        <x:v>companies:301581</x:v>
      </x:c>
      <x:c r="U69" s="24"/>
      <x:c r="V69" s="24" t="str">
        <x:v>FROZEN_UNCHANGED</x:v>
      </x:c>
      <x:c r="W69" s="24" t="n">
        <x:v>0</x:v>
      </x:c>
    </x:row>
    <x:row r="70" ht="52" customHeight="1">
      <x:c r="A70" s="24" t="str">
        <x:v>301581|CV002</x:v>
      </x:c>
      <x:c r="B70" s="24" t="str">
        <x:v>301581</x:v>
      </x:c>
      <x:c r="C70" s="24" t="str">
        <x:v>黄山谷捷</x:v>
      </x:c>
      <x:c r="D70" s="24" t="str">
        <x:v>CV002</x:v>
      </x:c>
      <x:c r="E70" s="24" t="str">
        <x:v>上市前直接股权融资轮数</x:v>
      </x:c>
      <x:c r="F70" s="24" t="str">
        <x:v>融资频度</x:v>
      </x:c>
      <x:c r="G70" s="24" t="str">
        <x:v>A核心</x:v>
      </x:c>
      <x:c r="H70" s="24" t="str">
        <x:v>INTEGER</x:v>
      </x:c>
      <x:c r="I70" s="24" t="str">
        <x:v>轮</x:v>
      </x:c>
      <x:c r="J70" s="24" t="str">
        <x:v>研究判断</x:v>
      </x:c>
      <x:c r="K70" s="24" t="str">
        <x:v>VALID</x:v>
      </x:c>
      <x:c r="L70" s="24" t="n">
        <x:v>2</x:v>
      </x:c>
      <x:c r="M70" s="24" t="str">
        <x:v>VALID</x:v>
      </x:c>
      <x:c r="N70" s="24" t="str">
        <x:v>OBSERVED_OR_CALCULATED</x:v>
      </x:c>
      <x:c r="O70" s="24" t="str">
        <x:v>符合Stage 3计算门槛。</x:v>
      </x:c>
      <x:c r="P70" s="24" t="n">
        <x:v>0</x:v>
      </x:c>
      <x:c r="Q70" s="24"/>
      <x:c r="R70" s="24"/>
      <x:c r="S70" s="24" t="str">
        <x:v>公司冻结轮次=2；事件层TRUE计数=2。</x:v>
      </x:c>
      <x:c r="T70" s="24" t="str">
        <x:v>companies:301581; EVT-301581-0004; EVT-301581-0005</x:v>
      </x:c>
      <x:c r="U70" s="24"/>
      <x:c r="V70" s="24" t="str">
        <x:v>FROZEN_UNCHANGED</x:v>
      </x:c>
      <x:c r="W70" s="24" t="n">
        <x:v>0</x:v>
      </x:c>
    </x:row>
    <x:row r="71" ht="52" customHeight="1">
      <x:c r="A71" s="24" t="str">
        <x:v>301581|CV003</x:v>
      </x:c>
      <x:c r="B71" s="24" t="str">
        <x:v>301581</x:v>
      </x:c>
      <x:c r="C71" s="24" t="str">
        <x:v>黄山谷捷</x:v>
      </x:c>
      <x:c r="D71" s="24" t="str">
        <x:v>CV003</x:v>
      </x:c>
      <x:c r="E71" s="24" t="str">
        <x:v>可核验融资金额下限</x:v>
      </x:c>
      <x:c r="F71" s="24" t="str">
        <x:v>融资规模</x:v>
      </x:c>
      <x:c r="G71" s="24" t="str">
        <x:v>A核心</x:v>
      </x:c>
      <x:c r="H71" s="24" t="str">
        <x:v>CONTINUOUS</x:v>
      </x:c>
      <x:c r="I71" s="24" t="str">
        <x:v>万元人民币</x:v>
      </x:c>
      <x:c r="J71" s="24" t="str">
        <x:v>标准化值+计算值</x:v>
      </x:c>
      <x:c r="K71" s="24" t="str">
        <x:v>VALID</x:v>
      </x:c>
      <x:c r="L71" s="24" t="n">
        <x:v>13655.098274</x:v>
      </x:c>
      <x:c r="M71" s="24" t="str">
        <x:v>VALID</x:v>
      </x:c>
      <x:c r="N71" s="24" t="str">
        <x:v>OBSERVED_OR_CALCULATED</x:v>
      </x:c>
      <x:c r="O71" s="24" t="str">
        <x:v>符合Stage 3计算门槛。</x:v>
      </x:c>
      <x:c r="P71" s="24" t="n">
        <x:v>0</x:v>
      </x:c>
      <x:c r="Q71" s="24"/>
      <x:c r="R71" s="24"/>
      <x:c r="S71" s="24" t="str">
        <x:v>读取公司层冻结金额；状态=DISCLOSED_COMPLETE。</x:v>
      </x:c>
      <x:c r="T71" s="24" t="str">
        <x:v>companies:301581</x:v>
      </x:c>
      <x:c r="U71" s="24"/>
      <x:c r="V71" s="24" t="str">
        <x:v>FROZEN_UNCHANGED</x:v>
      </x:c>
      <x:c r="W71" s="24" t="n">
        <x:v>0</x:v>
      </x:c>
    </x:row>
    <x:row r="72" ht="52" customHeight="1">
      <x:c r="A72" s="24" t="str">
        <x:v>301581|CV004</x:v>
      </x:c>
      <x:c r="B72" s="24" t="str">
        <x:v>301581</x:v>
      </x:c>
      <x:c r="C72" s="24" t="str">
        <x:v>黄山谷捷</x:v>
      </x:c>
      <x:c r="D72" s="24" t="str">
        <x:v>CV004</x:v>
      </x:c>
      <x:c r="E72" s="24" t="str">
        <x:v>融资金额下限对数</x:v>
      </x:c>
      <x:c r="F72" s="24" t="str">
        <x:v>融资规模</x:v>
      </x:c>
      <x:c r="G72" s="24" t="str">
        <x:v>B扩展</x:v>
      </x:c>
      <x:c r="H72" s="24" t="str">
        <x:v>CONTINUOUS</x:v>
      </x:c>
      <x:c r="I72" s="24" t="str">
        <x:v>ln(1+万元)</x:v>
      </x:c>
      <x:c r="J72" s="24" t="str">
        <x:v>计算值</x:v>
      </x:c>
      <x:c r="K72" s="24" t="str">
        <x:v>VALID</x:v>
      </x:c>
      <x:c r="L72" s="24" t="n">
        <x:v>9.521941460845571</x:v>
      </x:c>
      <x:c r="M72" s="24" t="str">
        <x:v>VALID</x:v>
      </x:c>
      <x:c r="N72" s="24" t="str">
        <x:v>OBSERVED_OR_CALCULATED</x:v>
      </x:c>
      <x:c r="O72" s="24" t="str">
        <x:v>符合Stage 3计算门槛。</x:v>
      </x:c>
      <x:c r="P72" s="24" t="n">
        <x:v>0</x:v>
      </x:c>
      <x:c r="Q72" s="24"/>
      <x:c r="R72" s="24"/>
      <x:c r="S72" s="24" t="str">
        <x:v>LN(1+公司层融资金额下限)。</x:v>
      </x:c>
      <x:c r="T72" s="24" t="str">
        <x:v>companies:301581</x:v>
      </x:c>
      <x:c r="U72" s="24"/>
      <x:c r="V72" s="24" t="str">
        <x:v>FROZEN_UNCHANGED</x:v>
      </x:c>
      <x:c r="W72" s="24" t="n">
        <x:v>0</x:v>
      </x:c>
    </x:row>
    <x:row r="73" ht="52" customHeight="1">
      <x:c r="A73" s="24" t="str">
        <x:v>301581|CV005</x:v>
      </x:c>
      <x:c r="B73" s="24" t="str">
        <x:v>301581</x:v>
      </x:c>
      <x:c r="C73" s="24" t="str">
        <x:v>黄山谷捷</x:v>
      </x:c>
      <x:c r="D73" s="24" t="str">
        <x:v>CV005</x:v>
      </x:c>
      <x:c r="E73" s="24" t="str">
        <x:v>已知金额轮次均值</x:v>
      </x:c>
      <x:c r="F73" s="24" t="str">
        <x:v>单轮融资规模</x:v>
      </x:c>
      <x:c r="G73" s="24" t="str">
        <x:v>A核心</x:v>
      </x:c>
      <x:c r="H73" s="24" t="str">
        <x:v>CONTINUOUS</x:v>
      </x:c>
      <x:c r="I73" s="24" t="str">
        <x:v>万元人民币/已知轮</x:v>
      </x:c>
      <x:c r="J73" s="24" t="str">
        <x:v>计算值</x:v>
      </x:c>
      <x:c r="K73" s="24" t="str">
        <x:v>VALID</x:v>
      </x:c>
      <x:c r="L73" s="24" t="n">
        <x:v>6827.549137</x:v>
      </x:c>
      <x:c r="M73" s="24" t="str">
        <x:v>VALID</x:v>
      </x:c>
      <x:c r="N73" s="24" t="str">
        <x:v>OBSERVED_OR_CALCULATED</x:v>
      </x:c>
      <x:c r="O73" s="24" t="str">
        <x:v>符合Stage 3计算门槛。</x:v>
      </x:c>
      <x:c r="P73" s="24" t="n">
        <x:v>0</x:v>
      </x:c>
      <x:c r="Q73" s="24"/>
      <x:c r="R73" s="24"/>
      <x:c r="S73" s="24" t="str">
        <x:v>基于2个非null融资轮金额计算已知轮次金额均值。</x:v>
      </x:c>
      <x:c r="T73" s="24" t="str">
        <x:v>EVT-301581-0004; EVT-301581-0005</x:v>
      </x:c>
      <x:c r="U73" s="24"/>
      <x:c r="V73" s="24" t="str">
        <x:v>FROZEN_UNCHANGED</x:v>
      </x:c>
      <x:c r="W73" s="24" t="n">
        <x:v>0</x:v>
      </x:c>
    </x:row>
    <x:row r="74" ht="52" customHeight="1">
      <x:c r="A74" s="24" t="str">
        <x:v>301581|CV006</x:v>
      </x:c>
      <x:c r="B74" s="24" t="str">
        <x:v>301581</x:v>
      </x:c>
      <x:c r="C74" s="24" t="str">
        <x:v>黄山谷捷</x:v>
      </x:c>
      <x:c r="D74" s="24" t="str">
        <x:v>CV006</x:v>
      </x:c>
      <x:c r="E74" s="24" t="str">
        <x:v>已知金额轮次中位数</x:v>
      </x:c>
      <x:c r="F74" s="24" t="str">
        <x:v>单轮融资规模</x:v>
      </x:c>
      <x:c r="G74" s="24" t="str">
        <x:v>B扩展</x:v>
      </x:c>
      <x:c r="H74" s="24" t="str">
        <x:v>CONTINUOUS</x:v>
      </x:c>
      <x:c r="I74" s="24" t="str">
        <x:v>万元人民币/已知轮</x:v>
      </x:c>
      <x:c r="J74" s="24" t="str">
        <x:v>计算值</x:v>
      </x:c>
      <x:c r="K74" s="24" t="str">
        <x:v>VALID</x:v>
      </x:c>
      <x:c r="L74" s="24" t="n">
        <x:v>6827.549137</x:v>
      </x:c>
      <x:c r="M74" s="24" t="str">
        <x:v>VALID</x:v>
      </x:c>
      <x:c r="N74" s="24" t="str">
        <x:v>OBSERVED_OR_CALCULATED</x:v>
      </x:c>
      <x:c r="O74" s="24" t="str">
        <x:v>符合Stage 3计算门槛。</x:v>
      </x:c>
      <x:c r="P74" s="24" t="n">
        <x:v>0</x:v>
      </x:c>
      <x:c r="Q74" s="24"/>
      <x:c r="R74" s="24"/>
      <x:c r="S74" s="24" t="str">
        <x:v>基于2个非null融资轮金额计算已知轮次金额中位数。</x:v>
      </x:c>
      <x:c r="T74" s="24" t="str">
        <x:v>EVT-301581-0004; EVT-301581-0005</x:v>
      </x:c>
      <x:c r="U74" s="24"/>
      <x:c r="V74" s="24" t="str">
        <x:v>FROZEN_UNCHANGED</x:v>
      </x:c>
      <x:c r="W74" s="24" t="n">
        <x:v>0</x:v>
      </x:c>
    </x:row>
    <x:row r="75" ht="52" customHeight="1">
      <x:c r="A75" s="24" t="str">
        <x:v>301581|CV007</x:v>
      </x:c>
      <x:c r="B75" s="24" t="str">
        <x:v>301581</x:v>
      </x:c>
      <x:c r="C75" s="24" t="str">
        <x:v>黄山谷捷</x:v>
      </x:c>
      <x:c r="D75" s="24" t="str">
        <x:v>CV007</x:v>
      </x:c>
      <x:c r="E75" s="24" t="str">
        <x:v>最大已知单轮融资金额</x:v>
      </x:c>
      <x:c r="F75" s="24" t="str">
        <x:v>融资峰值</x:v>
      </x:c>
      <x:c r="G75" s="24" t="str">
        <x:v>B扩展</x:v>
      </x:c>
      <x:c r="H75" s="24" t="str">
        <x:v>CONTINUOUS</x:v>
      </x:c>
      <x:c r="I75" s="24" t="str">
        <x:v>万元人民币</x:v>
      </x:c>
      <x:c r="J75" s="24" t="str">
        <x:v>计算值</x:v>
      </x:c>
      <x:c r="K75" s="24" t="str">
        <x:v>VALID</x:v>
      </x:c>
      <x:c r="L75" s="24" t="n">
        <x:v>11530.285394</x:v>
      </x:c>
      <x:c r="M75" s="24" t="str">
        <x:v>VALID</x:v>
      </x:c>
      <x:c r="N75" s="24" t="str">
        <x:v>OBSERVED_OR_CALCULATED</x:v>
      </x:c>
      <x:c r="O75" s="24" t="str">
        <x:v>符合Stage 3计算门槛。</x:v>
      </x:c>
      <x:c r="P75" s="24" t="n">
        <x:v>0</x:v>
      </x:c>
      <x:c r="Q75" s="24"/>
      <x:c r="R75" s="24"/>
      <x:c r="S75" s="24" t="str">
        <x:v>基于2个非null融资轮金额计算最大已知轮次金额。</x:v>
      </x:c>
      <x:c r="T75" s="24" t="str">
        <x:v>EVT-301581-0004; EVT-301581-0005</x:v>
      </x:c>
      <x:c r="U75" s="24"/>
      <x:c r="V75" s="24" t="str">
        <x:v>FROZEN_UNCHANGED</x:v>
      </x:c>
      <x:c r="W75" s="24" t="n">
        <x:v>0</x:v>
      </x:c>
    </x:row>
    <x:row r="76" ht="52" customHeight="1">
      <x:c r="A76" s="24" t="str">
        <x:v>301581|CV008</x:v>
      </x:c>
      <x:c r="B76" s="24" t="str">
        <x:v>301581</x:v>
      </x:c>
      <x:c r="C76" s="24" t="str">
        <x:v>黄山谷捷</x:v>
      </x:c>
      <x:c r="D76" s="24" t="str">
        <x:v>CV008</x:v>
      </x:c>
      <x:c r="E76" s="24" t="str">
        <x:v>最大已知轮金额占比</x:v>
      </x:c>
      <x:c r="F76" s="24" t="str">
        <x:v>融资集中度</x:v>
      </x:c>
      <x:c r="G76" s="24" t="str">
        <x:v>B扩展</x:v>
      </x:c>
      <x:c r="H76" s="24" t="str">
        <x:v>RATIO</x:v>
      </x:c>
      <x:c r="I76" s="24" t="str">
        <x:v>0–1</x:v>
      </x:c>
      <x:c r="J76" s="24" t="str">
        <x:v>计算值</x:v>
      </x:c>
      <x:c r="K76" s="24" t="str">
        <x:v>VALID</x:v>
      </x:c>
      <x:c r="L76" s="24" t="n">
        <x:v>0.8443941715127931</x:v>
      </x:c>
      <x:c r="M76" s="24" t="str">
        <x:v>VALID</x:v>
      </x:c>
      <x:c r="N76" s="24" t="str">
        <x:v>OBSERVED_OR_CALCULATED</x:v>
      </x:c>
      <x:c r="O76" s="24" t="str">
        <x:v>符合Stage 3计算门槛。</x:v>
      </x:c>
      <x:c r="P76" s="24" t="n">
        <x:v>0</x:v>
      </x:c>
      <x:c r="Q76" s="24"/>
      <x:c r="R76" s="24"/>
      <x:c r="S76" s="24" t="str">
        <x:v>最大已知轮金额/已知事件锚点金额合计。</x:v>
      </x:c>
      <x:c r="T76" s="24" t="str">
        <x:v>EVT-301581-0004; EVT-301581-0005</x:v>
      </x:c>
      <x:c r="U76" s="24"/>
      <x:c r="V76" s="24" t="str">
        <x:v>FROZEN_UNCHANGED</x:v>
      </x:c>
      <x:c r="W76" s="24" t="n">
        <x:v>0</x:v>
      </x:c>
    </x:row>
    <x:row r="77" ht="52" customHeight="1">
      <x:c r="A77" s="24" t="str">
        <x:v>301581|CV009</x:v>
      </x:c>
      <x:c r="B77" s="24" t="str">
        <x:v>301581</x:v>
      </x:c>
      <x:c r="C77" s="24" t="str">
        <x:v>黄山谷捷</x:v>
      </x:c>
      <x:c r="D77" s="24" t="str">
        <x:v>CV009</x:v>
      </x:c>
      <x:c r="E77" s="24" t="str">
        <x:v>融资时间跨度</x:v>
      </x:c>
      <x:c r="F77" s="24" t="str">
        <x:v>融资节奏</x:v>
      </x:c>
      <x:c r="G77" s="24" t="str">
        <x:v>A核心</x:v>
      </x:c>
      <x:c r="H77" s="24" t="str">
        <x:v>CONTINUOUS</x:v>
      </x:c>
      <x:c r="I77" s="24" t="str">
        <x:v>月</x:v>
      </x:c>
      <x:c r="J77" s="24" t="str">
        <x:v>计算值</x:v>
      </x:c>
      <x:c r="K77" s="24" t="str">
        <x:v>VALID</x:v>
      </x:c>
      <x:c r="L77" s="24" t="n">
        <x:v>6</x:v>
      </x:c>
      <x:c r="M77" s="24" t="str">
        <x:v>VALID</x:v>
      </x:c>
      <x:c r="N77" s="24" t="str">
        <x:v>OBSERVED_OR_CALCULATED</x:v>
      </x:c>
      <x:c r="O77" s="24" t="str">
        <x:v>符合Stage 3计算门槛。</x:v>
      </x:c>
      <x:c r="P77" s="24" t="n">
        <x:v>0</x:v>
      </x:c>
      <x:c r="Q77" s="24"/>
      <x:c r="R77" s="24"/>
      <x:c r="S77" s="24" t="str">
        <x:v>使用2个可用年月计算最晚减最早。</x:v>
      </x:c>
      <x:c r="T77" s="24" t="str">
        <x:v>EVT-301581-0004; EVT-301581-0005</x:v>
      </x:c>
      <x:c r="U77" s="24"/>
      <x:c r="V77" s="24" t="str">
        <x:v>FROZEN_UNCHANGED</x:v>
      </x:c>
      <x:c r="W77" s="24" t="n">
        <x:v>0</x:v>
      </x:c>
    </x:row>
    <x:row r="78" ht="52" customHeight="1">
      <x:c r="A78" s="24" t="str">
        <x:v>301581|CV010</x:v>
      </x:c>
      <x:c r="B78" s="24" t="str">
        <x:v>301581</x:v>
      </x:c>
      <x:c r="C78" s="24" t="str">
        <x:v>黄山谷捷</x:v>
      </x:c>
      <x:c r="D78" s="24" t="str">
        <x:v>CV010</x:v>
      </x:c>
      <x:c r="E78" s="24" t="str">
        <x:v>融资轮次间隔中位数</x:v>
      </x:c>
      <x:c r="F78" s="24" t="str">
        <x:v>融资节奏</x:v>
      </x:c>
      <x:c r="G78" s="24" t="str">
        <x:v>B扩展</x:v>
      </x:c>
      <x:c r="H78" s="24" t="str">
        <x:v>CONTINUOUS</x:v>
      </x:c>
      <x:c r="I78" s="24" t="str">
        <x:v>月</x:v>
      </x:c>
      <x:c r="J78" s="24" t="str">
        <x:v>计算值</x:v>
      </x:c>
      <x:c r="K78" s="24" t="str">
        <x:v>VALID</x:v>
      </x:c>
      <x:c r="L78" s="24" t="n">
        <x:v>6</x:v>
      </x:c>
      <x:c r="M78" s="24" t="str">
        <x:v>VALID</x:v>
      </x:c>
      <x:c r="N78" s="24" t="str">
        <x:v>OBSERVED_OR_CALCULATED</x:v>
      </x:c>
      <x:c r="O78" s="24" t="str">
        <x:v>符合Stage 3计算门槛。</x:v>
      </x:c>
      <x:c r="P78" s="24" t="n">
        <x:v>0</x:v>
      </x:c>
      <x:c r="Q78" s="24"/>
      <x:c r="R78" s="24"/>
      <x:c r="S78" s="24" t="str">
        <x:v>对1个相邻月份差取中位数。</x:v>
      </x:c>
      <x:c r="T78" s="24" t="str">
        <x:v>EVT-301581-0004; EVT-301581-0005</x:v>
      </x:c>
      <x:c r="U78" s="24"/>
      <x:c r="V78" s="24" t="str">
        <x:v>FROZEN_UNCHANGED</x:v>
      </x:c>
      <x:c r="W78" s="24" t="n">
        <x:v>0</x:v>
      </x:c>
    </x:row>
    <x:row r="79" ht="52" customHeight="1">
      <x:c r="A79" s="24" t="str">
        <x:v>301581|CV011</x:v>
      </x:c>
      <x:c r="B79" s="24" t="str">
        <x:v>301581</x:v>
      </x:c>
      <x:c r="C79" s="24" t="str">
        <x:v>黄山谷捷</x:v>
      </x:c>
      <x:c r="D79" s="24" t="str">
        <x:v>CV011</x:v>
      </x:c>
      <x:c r="E79" s="24" t="str">
        <x:v>确认PE/VC参与标记</x:v>
      </x:c>
      <x:c r="F79" s="24" t="str">
        <x:v>PEVC参与</x:v>
      </x:c>
      <x:c r="G79" s="24" t="str">
        <x:v>A核心</x:v>
      </x:c>
      <x:c r="H79" s="24" t="str">
        <x:v>BINARY</x:v>
      </x:c>
      <x:c r="I79" s="24" t="str">
        <x:v>0/1</x:v>
      </x:c>
      <x:c r="J79" s="24" t="str">
        <x:v>研究判断派生</x:v>
      </x:c>
      <x:c r="K79" s="24" t="str">
        <x:v>VALID</x:v>
      </x:c>
      <x:c r="L79" s="24" t="n">
        <x:v>0</x:v>
      </x:c>
      <x:c r="M79" s="24" t="str">
        <x:v>VALID</x:v>
      </x:c>
      <x:c r="N79" s="24" t="str">
        <x:v>OBSERVED_OR_CALCULATED</x:v>
      </x:c>
      <x:c r="O79" s="24" t="str">
        <x:v>符合Stage 3计算门槛。</x:v>
      </x:c>
      <x:c r="P79" s="24" t="n">
        <x:v>1</x:v>
      </x:c>
      <x:c r="Q79" s="24"/>
      <x:c r="R79" s="24"/>
      <x:c r="S79" s="24" t="str">
        <x:v>confirmed_pevc_legal_entity_count=0。</x:v>
      </x:c>
      <x:c r="T79" s="24" t="str">
        <x:v>companies:301581</x:v>
      </x:c>
      <x:c r="U79" s="24"/>
      <x:c r="V79" s="24" t="str">
        <x:v>FROZEN_UNCHANGED</x:v>
      </x:c>
      <x:c r="W79" s="24" t="n">
        <x:v>0</x:v>
      </x:c>
    </x:row>
    <x:row r="80" ht="52" customHeight="1">
      <x:c r="A80" s="24" t="str">
        <x:v>301581|CV012</x:v>
      </x:c>
      <x:c r="B80" s="24" t="str">
        <x:v>301581</x:v>
      </x:c>
      <x:c r="C80" s="24" t="str">
        <x:v>黄山谷捷</x:v>
      </x:c>
      <x:c r="D80" s="24" t="str">
        <x:v>CV012</x:v>
      </x:c>
      <x:c r="E80" s="24" t="str">
        <x:v>确认PE/VC法律主体数</x:v>
      </x:c>
      <x:c r="F80" s="24" t="str">
        <x:v>PEVC参与</x:v>
      </x:c>
      <x:c r="G80" s="24" t="str">
        <x:v>A核心</x:v>
      </x:c>
      <x:c r="H80" s="24" t="str">
        <x:v>INTEGER</x:v>
      </x:c>
      <x:c r="I80" s="24" t="str">
        <x:v>个</x:v>
      </x:c>
      <x:c r="J80" s="24" t="str">
        <x:v>计算值+研究判断</x:v>
      </x:c>
      <x:c r="K80" s="24" t="str">
        <x:v>VALID</x:v>
      </x:c>
      <x:c r="L80" s="24" t="n">
        <x:v>0</x:v>
      </x:c>
      <x:c r="M80" s="24" t="str">
        <x:v>VALID</x:v>
      </x:c>
      <x:c r="N80" s="24" t="str">
        <x:v>OBSERVED_OR_CALCULATED</x:v>
      </x:c>
      <x:c r="O80" s="24" t="str">
        <x:v>符合Stage 3计算门槛。</x:v>
      </x:c>
      <x:c r="P80" s="24" t="n">
        <x:v>1</x:v>
      </x:c>
      <x:c r="Q80" s="24"/>
      <x:c r="R80" s="24"/>
      <x:c r="S80" s="24" t="str">
        <x:v>读取公司层冻结确认PE/VC法律主体数。</x:v>
      </x:c>
      <x:c r="T80" s="24" t="str">
        <x:v>companies:301581</x:v>
      </x:c>
      <x:c r="U80" s="24"/>
      <x:c r="V80" s="24" t="str">
        <x:v>FROZEN_UNCHANGED</x:v>
      </x:c>
      <x:c r="W80" s="24" t="n">
        <x:v>0</x:v>
      </x:c>
    </x:row>
    <x:row r="81" ht="52" customHeight="1">
      <x:c r="A81" s="24" t="str">
        <x:v>301581|CV013</x:v>
      </x:c>
      <x:c r="B81" s="24" t="str">
        <x:v>301581</x:v>
      </x:c>
      <x:c r="C81" s="24" t="str">
        <x:v>黄山谷捷</x:v>
      </x:c>
      <x:c r="D81" s="24" t="str">
        <x:v>CV013</x:v>
      </x:c>
      <x:c r="E81" s="24" t="str">
        <x:v>确认PE/VC占直接主体比重</x:v>
      </x:c>
      <x:c r="F81" s="24" t="str">
        <x:v>PEVC参与</x:v>
      </x:c>
      <x:c r="G81" s="24" t="str">
        <x:v>B扩展</x:v>
      </x:c>
      <x:c r="H81" s="24" t="str">
        <x:v>RATIO</x:v>
      </x:c>
      <x:c r="I81" s="24" t="str">
        <x:v>0–1</x:v>
      </x:c>
      <x:c r="J81" s="24" t="str">
        <x:v>计算值+研究判断</x:v>
      </x:c>
      <x:c r="K81" s="24" t="str">
        <x:v>VALID</x:v>
      </x:c>
      <x:c r="L81" s="24" t="n">
        <x:v>0</x:v>
      </x:c>
      <x:c r="M81" s="24" t="str">
        <x:v>VALID</x:v>
      </x:c>
      <x:c r="N81" s="24" t="str">
        <x:v>OBSERVED_OR_CALCULATED</x:v>
      </x:c>
      <x:c r="O81" s="24" t="str">
        <x:v>符合Stage 3计算门槛。</x:v>
      </x:c>
      <x:c r="P81" s="24" t="n">
        <x:v>1</x:v>
      </x:c>
      <x:c r="Q81" s="24"/>
      <x:c r="R81" s="24"/>
      <x:c r="S81" s="24" t="str">
        <x:v>确认PE/VC法律主体数/直接参与法律主体数。</x:v>
      </x:c>
      <x:c r="T81" s="24" t="str">
        <x:v>companies:301581</x:v>
      </x:c>
      <x:c r="U81" s="24"/>
      <x:c r="V81" s="24" t="str">
        <x:v>FROZEN_UNCHANGED</x:v>
      </x:c>
      <x:c r="W81" s="24" t="n">
        <x:v>0</x:v>
      </x:c>
    </x:row>
    <x:row r="82" ht="52" customHeight="1">
      <x:c r="A82" s="24" t="str">
        <x:v>301581|CV014</x:v>
      </x:c>
      <x:c r="B82" s="24" t="str">
        <x:v>301581</x:v>
      </x:c>
      <x:c r="C82" s="24" t="str">
        <x:v>黄山谷捷</x:v>
      </x:c>
      <x:c r="D82" s="24" t="str">
        <x:v>CV014</x:v>
      </x:c>
      <x:c r="E82" s="24" t="str">
        <x:v>确认PE/VC参与融资轮数</x:v>
      </x:c>
      <x:c r="F82" s="24" t="str">
        <x:v>PEVC参与深度</x:v>
      </x:c>
      <x:c r="G82" s="24" t="str">
        <x:v>B扩展</x:v>
      </x:c>
      <x:c r="H82" s="24" t="str">
        <x:v>INTEGER</x:v>
      </x:c>
      <x:c r="I82" s="24" t="str">
        <x:v>轮</x:v>
      </x:c>
      <x:c r="J82" s="24" t="str">
        <x:v>研究判断派生</x:v>
      </x:c>
      <x:c r="K82" s="24" t="str">
        <x:v>VALID</x:v>
      </x:c>
      <x:c r="L82" s="24" t="n">
        <x:v>0</x:v>
      </x:c>
      <x:c r="M82" s="24" t="str">
        <x:v>VALID</x:v>
      </x:c>
      <x:c r="N82" s="24" t="str">
        <x:v>OBSERVED_OR_CALCULATED</x:v>
      </x:c>
      <x:c r="O82" s="24" t="str">
        <x:v>符合Stage 3计算门槛。</x:v>
      </x:c>
      <x:c r="P82" s="24" t="n">
        <x:v>1</x:v>
      </x:c>
      <x:c r="Q82" s="24"/>
      <x:c r="R82" s="24"/>
      <x:c r="S82" s="24" t="str">
        <x:v>公司层确认PE/VC数为0，因此确认PE/VC参与融资轮数为0。</x:v>
      </x:c>
      <x:c r="T82" s="24" t="str">
        <x:v>companies:301581</x:v>
      </x:c>
      <x:c r="U82" s="24"/>
      <x:c r="V82" s="24" t="str">
        <x:v>FROZEN_UNCHANGED</x:v>
      </x:c>
      <x:c r="W82" s="24" t="n">
        <x:v>0</x:v>
      </x:c>
    </x:row>
    <x:row r="83" ht="52" customHeight="1">
      <x:c r="A83" s="24" t="str">
        <x:v>301581|CV015</x:v>
      </x:c>
      <x:c r="B83" s="24" t="str">
        <x:v>301581</x:v>
      </x:c>
      <x:c r="C83" s="24" t="str">
        <x:v>黄山谷捷</x:v>
      </x:c>
      <x:c r="D83" s="24" t="str">
        <x:v>CV015</x:v>
      </x:c>
      <x:c r="E83" s="24" t="str">
        <x:v>首次确认PE/VC进入日期</x:v>
      </x:c>
      <x:c r="F83" s="24" t="str">
        <x:v>PEVC进入时点</x:v>
      </x:c>
      <x:c r="G83" s="24" t="str">
        <x:v>A核心</x:v>
      </x:c>
      <x:c r="H83" s="24" t="str">
        <x:v>DATE_OR_MONTH</x:v>
      </x:c>
      <x:c r="I83" s="24" t="str">
        <x:v>日期或年月</x:v>
      </x:c>
      <x:c r="J83" s="24" t="str">
        <x:v>研究判断派生</x:v>
      </x:c>
      <x:c r="K83" s="24" t="str">
        <x:v>STRUCTURAL_NA</x:v>
      </x:c>
      <x:c r="L83" s="24"/>
      <x:c r="M83" s="24" t="str">
        <x:v>STRUCTURAL_NA</x:v>
      </x:c>
      <x:c r="N83" s="24" t="str">
        <x:v>STRUCTURAL_NA_NO_CONFIRMED_PEVC</x:v>
      </x:c>
      <x:c r="O83" s="24" t="str">
        <x:v>公司没有确认PE/VC法律主体。</x:v>
      </x:c>
      <x:c r="P83" s="24" t="n">
        <x:v>0</x:v>
      </x:c>
      <x:c r="Q83" s="24"/>
      <x:c r="R83" s="24"/>
      <x:c r="S83" s="24" t="str">
        <x:v>首次确认PE/VC进入日期不适用。</x:v>
      </x:c>
      <x:c r="T83" s="24" t="str">
        <x:v>companies:301581</x:v>
      </x:c>
      <x:c r="U83" s="24"/>
      <x:c r="V83" s="24" t="str">
        <x:v>FROZEN_UNCHANGED</x:v>
      </x:c>
      <x:c r="W83" s="24" t="n">
        <x:v>0</x:v>
      </x:c>
    </x:row>
    <x:row r="84" ht="52" customHeight="1">
      <x:c r="A84" s="24" t="str">
        <x:v>301581|CV016</x:v>
      </x:c>
      <x:c r="B84" s="24" t="str">
        <x:v>301581</x:v>
      </x:c>
      <x:c r="C84" s="24" t="str">
        <x:v>黄山谷捷</x:v>
      </x:c>
      <x:c r="D84" s="24" t="str">
        <x:v>CV016</x:v>
      </x:c>
      <x:c r="E84" s="24" t="str">
        <x:v>首次确认PE/VC进入年份</x:v>
      </x:c>
      <x:c r="F84" s="24" t="str">
        <x:v>PEVC进入时点</x:v>
      </x:c>
      <x:c r="G84" s="24" t="str">
        <x:v>B扩展</x:v>
      </x:c>
      <x:c r="H84" s="24" t="str">
        <x:v>INTEGER</x:v>
      </x:c>
      <x:c r="I84" s="24" t="str">
        <x:v>年</x:v>
      </x:c>
      <x:c r="J84" s="24" t="str">
        <x:v>计算值+研究判断</x:v>
      </x:c>
      <x:c r="K84" s="24" t="str">
        <x:v>STRUCTURAL_NA</x:v>
      </x:c>
      <x:c r="L84" s="24"/>
      <x:c r="M84" s="24" t="str">
        <x:v>STRUCTURAL_NA</x:v>
      </x:c>
      <x:c r="N84" s="24" t="str">
        <x:v>STRUCTURAL_NA_NO_CONFIRMED_PEVC</x:v>
      </x:c>
      <x:c r="O84" s="24" t="str">
        <x:v>公司没有确认PE/VC法律主体。</x:v>
      </x:c>
      <x:c r="P84" s="24" t="n">
        <x:v>0</x:v>
      </x:c>
      <x:c r="Q84" s="24"/>
      <x:c r="R84" s="24"/>
      <x:c r="S84" s="24" t="str">
        <x:v>首次确认PE/VC进入年份不适用。</x:v>
      </x:c>
      <x:c r="T84" s="24" t="str">
        <x:v>companies:301581</x:v>
      </x:c>
      <x:c r="U84" s="24"/>
      <x:c r="V84" s="24" t="str">
        <x:v>FROZEN_UNCHANGED</x:v>
      </x:c>
      <x:c r="W84" s="24" t="n">
        <x:v>0</x:v>
      </x:c>
    </x:row>
    <x:row r="85" ht="52" customHeight="1">
      <x:c r="A85" s="24" t="str">
        <x:v>301581|CV017</x:v>
      </x:c>
      <x:c r="B85" s="24" t="str">
        <x:v>301581</x:v>
      </x:c>
      <x:c r="C85" s="24" t="str">
        <x:v>黄山谷捷</x:v>
      </x:c>
      <x:c r="D85" s="24" t="str">
        <x:v>CV017</x:v>
      </x:c>
      <x:c r="E85" s="24" t="str">
        <x:v>首次确认PE/VC融资轮位置</x:v>
      </x:c>
      <x:c r="F85" s="24" t="str">
        <x:v>PEVC进入时点</x:v>
      </x:c>
      <x:c r="G85" s="24" t="str">
        <x:v>B扩展</x:v>
      </x:c>
      <x:c r="H85" s="24" t="str">
        <x:v>RATIO</x:v>
      </x:c>
      <x:c r="I85" s="24" t="str">
        <x:v>0–1</x:v>
      </x:c>
      <x:c r="J85" s="24" t="str">
        <x:v>研究判断派生</x:v>
      </x:c>
      <x:c r="K85" s="24" t="str">
        <x:v>STRUCTURAL_NA</x:v>
      </x:c>
      <x:c r="L85" s="24"/>
      <x:c r="M85" s="24" t="str">
        <x:v>STRUCTURAL_NA</x:v>
      </x:c>
      <x:c r="N85" s="24" t="str">
        <x:v>STRUCTURAL_NA_NO_CONFIRMED_PEVC</x:v>
      </x:c>
      <x:c r="O85" s="24" t="str">
        <x:v>公司没有确认PE/VC法律主体。</x:v>
      </x:c>
      <x:c r="P85" s="24" t="n">
        <x:v>0</x:v>
      </x:c>
      <x:c r="Q85" s="24"/>
      <x:c r="R85" s="24"/>
      <x:c r="S85" s="24" t="str">
        <x:v>首次确认PE/VC融资轮位置不适用。</x:v>
      </x:c>
      <x:c r="T85" s="24" t="str">
        <x:v>companies:301581</x:v>
      </x:c>
      <x:c r="U85" s="24"/>
      <x:c r="V85" s="24" t="str">
        <x:v>FROZEN_UNCHANGED</x:v>
      </x:c>
      <x:c r="W85" s="24" t="n">
        <x:v>0</x:v>
      </x:c>
    </x:row>
    <x:row r="86" ht="52" customHeight="1">
      <x:c r="A86" s="24" t="str">
        <x:v>301581|CV018</x:v>
      </x:c>
      <x:c r="B86" s="24" t="str">
        <x:v>301581</x:v>
      </x:c>
      <x:c r="C86" s="24" t="str">
        <x:v>黄山谷捷</x:v>
      </x:c>
      <x:c r="D86" s="24" t="str">
        <x:v>CV018</x:v>
      </x:c>
      <x:c r="E86" s="24" t="str">
        <x:v>确认PE/VC间接路径标记</x:v>
      </x:c>
      <x:c r="F86" s="24" t="str">
        <x:v>投资路径复杂度</x:v>
      </x:c>
      <x:c r="G86" s="24" t="str">
        <x:v>B扩展</x:v>
      </x:c>
      <x:c r="H86" s="24" t="str">
        <x:v>BINARY</x:v>
      </x:c>
      <x:c r="I86" s="24" t="str">
        <x:v>0/1</x:v>
      </x:c>
      <x:c r="J86" s="24" t="str">
        <x:v>研究判断派生</x:v>
      </x:c>
      <x:c r="K86" s="24" t="str">
        <x:v>VALID</x:v>
      </x:c>
      <x:c r="L86" s="24" t="n">
        <x:v>0</x:v>
      </x:c>
      <x:c r="M86" s="24" t="str">
        <x:v>VALID</x:v>
      </x:c>
      <x:c r="N86" s="24" t="str">
        <x:v>OBSERVED_OR_CALCULATED</x:v>
      </x:c>
      <x:c r="O86" s="24" t="str">
        <x:v>符合Stage 3计算门槛。</x:v>
      </x:c>
      <x:c r="P86" s="24" t="n">
        <x:v>1</x:v>
      </x:c>
      <x:c r="Q86" s="24"/>
      <x:c r="R86" s="24"/>
      <x:c r="S86" s="24" t="str">
        <x:v>公司层确认PE/VC数为0，因此不存在确认PE/VC间接路径。</x:v>
      </x:c>
      <x:c r="T86" s="24" t="str">
        <x:v>companies:301581</x:v>
      </x:c>
      <x:c r="U86" s="24"/>
      <x:c r="V86" s="24" t="str">
        <x:v>FROZEN_UNCHANGED</x:v>
      </x:c>
      <x:c r="W86" s="24" t="n">
        <x:v>0</x:v>
      </x:c>
    </x:row>
    <x:row r="87" ht="52" customHeight="1">
      <x:c r="A87" s="24" t="str">
        <x:v>301581|CV019</x:v>
      </x:c>
      <x:c r="B87" s="24" t="str">
        <x:v>301581</x:v>
      </x:c>
      <x:c r="C87" s="24" t="str">
        <x:v>黄山谷捷</x:v>
      </x:c>
      <x:c r="D87" s="24" t="str">
        <x:v>CV019</x:v>
      </x:c>
      <x:c r="E87" s="24" t="str">
        <x:v>确认PE/VC进入方式多样性</x:v>
      </x:c>
      <x:c r="F87" s="24" t="str">
        <x:v>PEVC进入方式</x:v>
      </x:c>
      <x:c r="G87" s="24" t="str">
        <x:v>B扩展</x:v>
      </x:c>
      <x:c r="H87" s="24" t="str">
        <x:v>INTEGER</x:v>
      </x:c>
      <x:c r="I87" s="24" t="str">
        <x:v>种</x:v>
      </x:c>
      <x:c r="J87" s="24" t="str">
        <x:v>研究判断派生</x:v>
      </x:c>
      <x:c r="K87" s="24" t="str">
        <x:v>VALID</x:v>
      </x:c>
      <x:c r="L87" s="24" t="n">
        <x:v>0</x:v>
      </x:c>
      <x:c r="M87" s="24" t="str">
        <x:v>VALID</x:v>
      </x:c>
      <x:c r="N87" s="24" t="str">
        <x:v>OBSERVED_OR_CALCULATED</x:v>
      </x:c>
      <x:c r="O87" s="24" t="str">
        <x:v>符合Stage 3计算门槛。</x:v>
      </x:c>
      <x:c r="P87" s="24" t="n">
        <x:v>1</x:v>
      </x:c>
      <x:c r="Q87" s="24"/>
      <x:c r="R87" s="24"/>
      <x:c r="S87" s="24" t="str">
        <x:v>公司层确认PE/VC数为0，因此进入方式种类为0。</x:v>
      </x:c>
      <x:c r="T87" s="24" t="str">
        <x:v>companies:301581</x:v>
      </x:c>
      <x:c r="U87" s="24"/>
      <x:c r="V87" s="24" t="str">
        <x:v>FROZEN_UNCHANGED</x:v>
      </x:c>
      <x:c r="W87" s="24" t="n">
        <x:v>0</x:v>
      </x:c>
    </x:row>
    <x:row r="88" ht="52" customHeight="1">
      <x:c r="A88" s="24" t="str">
        <x:v>301581|CV020</x:v>
      </x:c>
      <x:c r="B88" s="24" t="str">
        <x:v>301581</x:v>
      </x:c>
      <x:c r="C88" s="24" t="str">
        <x:v>黄山谷捷</x:v>
      </x:c>
      <x:c r="D88" s="24" t="str">
        <x:v>CV020</x:v>
      </x:c>
      <x:c r="E88" s="24" t="str">
        <x:v>直接参与法律主体数</x:v>
      </x:c>
      <x:c r="F88" s="24" t="str">
        <x:v>参与结构规模</x:v>
      </x:c>
      <x:c r="G88" s="24" t="str">
        <x:v>A核心</x:v>
      </x:c>
      <x:c r="H88" s="24" t="str">
        <x:v>INTEGER</x:v>
      </x:c>
      <x:c r="I88" s="24" t="str">
        <x:v>个</x:v>
      </x:c>
      <x:c r="J88" s="24" t="str">
        <x:v>计算值</x:v>
      </x:c>
      <x:c r="K88" s="24" t="str">
        <x:v>VALID</x:v>
      </x:c>
      <x:c r="L88" s="24" t="n">
        <x:v>6</x:v>
      </x:c>
      <x:c r="M88" s="24" t="str">
        <x:v>VALID</x:v>
      </x:c>
      <x:c r="N88" s="24" t="str">
        <x:v>OBSERVED_OR_CALCULATED</x:v>
      </x:c>
      <x:c r="O88" s="24" t="str">
        <x:v>符合Stage 3计算门槛。</x:v>
      </x:c>
      <x:c r="P88" s="24" t="n">
        <x:v>0</x:v>
      </x:c>
      <x:c r="Q88" s="24"/>
      <x:c r="R88" s="24"/>
      <x:c r="S88" s="24" t="str">
        <x:v>读取公司层冻结直接参与法律主体数。</x:v>
      </x:c>
      <x:c r="T88" s="24" t="str">
        <x:v>companies:301581</x:v>
      </x:c>
      <x:c r="U88" s="24"/>
      <x:c r="V88" s="24" t="str">
        <x:v>FROZEN_UNCHANGED</x:v>
      </x:c>
      <x:c r="W88" s="24" t="n">
        <x:v>0</x:v>
      </x:c>
    </x:row>
    <x:row r="89" ht="52" customHeight="1">
      <x:c r="A89" s="24" t="str">
        <x:v>301581|CV021</x:v>
      </x:c>
      <x:c r="B89" s="24" t="str">
        <x:v>301581</x:v>
      </x:c>
      <x:c r="C89" s="24" t="str">
        <x:v>黄山谷捷</x:v>
      </x:c>
      <x:c r="D89" s="24" t="str">
        <x:v>CV021</x:v>
      </x:c>
      <x:c r="E89" s="24" t="str">
        <x:v>融资投资方法律主体数</x:v>
      </x:c>
      <x:c r="F89" s="24" t="str">
        <x:v>融资参与广度</x:v>
      </x:c>
      <x:c r="G89" s="24" t="str">
        <x:v>B扩展</x:v>
      </x:c>
      <x:c r="H89" s="24" t="str">
        <x:v>INTEGER</x:v>
      </x:c>
      <x:c r="I89" s="24" t="str">
        <x:v>个</x:v>
      </x:c>
      <x:c r="J89" s="24" t="str">
        <x:v>计算值+Week9补充研究层</x:v>
      </x:c>
      <x:c r="K89" s="24" t="str">
        <x:v>NOT_COMPUTABLE</x:v>
      </x:c>
      <x:c r="L89" s="24" t="n">
        <x:v>3</x:v>
      </x:c>
      <x:c r="M89" s="24" t="str">
        <x:v>VALID</x:v>
      </x:c>
      <x:c r="N89" s="24" t="str">
        <x:v>REPAIRED_AND_FROZEN_STAGE4C</x:v>
      </x:c>
      <x:c r="O89" s="24" t="str">
        <x:v>经S4B4证据闸门修复并在Stage4C冻结。</x:v>
      </x:c>
      <x:c r="P89" s="24" t="n">
        <x:v>0</x:v>
      </x:c>
      <x:c r="Q89" s="24" t="str">
        <x:v>W9_DISCLOSED_SHORT_FORM_PARTY_BRIDGE</x:v>
      </x:c>
      <x:c r="R89" s="24" t="str">
        <x:v>3个主体名称按招股书披露简称保留；5个无名称PTY未强行映射。</x:v>
      </x:c>
      <x:c r="S89" s="24" t="str">
        <x:v>两轮融资的3条INVESTOR bridge按补充entity_id去重。</x:v>
      </x:c>
      <x:c r="T89" s="24" t="str">
        <x:v>SUP-PTY-301581-0004-01-P01; SUP-PTY-301581-0004-01-P02; SUP-PTY-301581-0005-01-P01</x:v>
      </x:c>
      <x:c r="U89" s="24" t="str">
        <x:v>S4B4</x:v>
      </x:c>
      <x:c r="V89" s="24" t="str">
        <x:v>FROZEN_REPAIRED</x:v>
      </x:c>
      <x:c r="W89" s="24" t="n">
        <x:v>1</x:v>
      </x:c>
    </x:row>
    <x:row r="90" ht="52" customHeight="1">
      <x:c r="A90" s="24" t="str">
        <x:v>301581|CV022</x:v>
      </x:c>
      <x:c r="B90" s="24" t="str">
        <x:v>301581</x:v>
      </x:c>
      <x:c r="C90" s="24" t="str">
        <x:v>黄山谷捷</x:v>
      </x:c>
      <x:c r="D90" s="24" t="str">
        <x:v>CV022</x:v>
      </x:c>
      <x:c r="E90" s="24" t="str">
        <x:v>每轮融资投资方密度</x:v>
      </x:c>
      <x:c r="F90" s="24" t="str">
        <x:v>融资参与密度</x:v>
      </x:c>
      <x:c r="G90" s="24" t="str">
        <x:v>B扩展</x:v>
      </x:c>
      <x:c r="H90" s="24" t="str">
        <x:v>RATIO</x:v>
      </x:c>
      <x:c r="I90" s="24" t="str">
        <x:v>个/轮</x:v>
      </x:c>
      <x:c r="J90" s="24" t="str">
        <x:v>计算值+Week9补充研究层</x:v>
      </x:c>
      <x:c r="K90" s="24" t="str">
        <x:v>NOT_COMPUTABLE</x:v>
      </x:c>
      <x:c r="L90" s="24" t="n">
        <x:v>1.5</x:v>
      </x:c>
      <x:c r="M90" s="24" t="str">
        <x:v>VALID</x:v>
      </x:c>
      <x:c r="N90" s="24" t="str">
        <x:v>REPAIRED_AND_FROZEN_STAGE4C</x:v>
      </x:c>
      <x:c r="O90" s="24" t="str">
        <x:v>经S4B4证据闸门修复并在Stage4C冻结。</x:v>
      </x:c>
      <x:c r="P90" s="24" t="n">
        <x:v>0</x:v>
      </x:c>
      <x:c r="Q90" s="24" t="str">
        <x:v>W9_DISCLOSED_SHORT_FORM_PARTY_BRIDGE</x:v>
      </x:c>
      <x:c r="R90" s="24" t="str">
        <x:v>主体简称足以计数，不足以进行完整法定名称网络分析。</x:v>
      </x:c>
      <x:c r="S90" s="24" t="str">
        <x:v>CV021修复值3/冻结融资轮数2。</x:v>
      </x:c>
      <x:c r="T90" s="24" t="str">
        <x:v>SUP-PTY-301581-0004-01-P01; SUP-PTY-301581-0004-01-P02; SUP-PTY-301581-0005-01-P01</x:v>
      </x:c>
      <x:c r="U90" s="24" t="str">
        <x:v>S4B4</x:v>
      </x:c>
      <x:c r="V90" s="24" t="str">
        <x:v>FROZEN_REPAIRED</x:v>
      </x:c>
      <x:c r="W90" s="24" t="n">
        <x:v>1</x:v>
      </x:c>
    </x:row>
    <x:row r="91" ht="52" customHeight="1">
      <x:c r="A91" s="24" t="str">
        <x:v>301581|CV023</x:v>
      </x:c>
      <x:c r="B91" s="24" t="str">
        <x:v>301581</x:v>
      </x:c>
      <x:c r="C91" s="24" t="str">
        <x:v>黄山谷捷</x:v>
      </x:c>
      <x:c r="D91" s="24" t="str">
        <x:v>CV023</x:v>
      </x:c>
      <x:c r="E91" s="24" t="str">
        <x:v>融资方式多样性</x:v>
      </x:c>
      <x:c r="F91" s="24" t="str">
        <x:v>融资机制</x:v>
      </x:c>
      <x:c r="G91" s="24" t="str">
        <x:v>B扩展</x:v>
      </x:c>
      <x:c r="H91" s="24" t="str">
        <x:v>INTEGER</x:v>
      </x:c>
      <x:c r="I91" s="24" t="str">
        <x:v>种</x:v>
      </x:c>
      <x:c r="J91" s="24" t="str">
        <x:v>计算值</x:v>
      </x:c>
      <x:c r="K91" s="24" t="str">
        <x:v>VALID</x:v>
      </x:c>
      <x:c r="L91" s="24" t="n">
        <x:v>1</x:v>
      </x:c>
      <x:c r="M91" s="24" t="str">
        <x:v>VALID</x:v>
      </x:c>
      <x:c r="N91" s="24" t="str">
        <x:v>OBSERVED_OR_CALCULATED</x:v>
      </x:c>
      <x:c r="O91" s="24" t="str">
        <x:v>符合Stage 3计算门槛。</x:v>
      </x:c>
      <x:c r="P91" s="24" t="n">
        <x:v>0</x:v>
      </x:c>
      <x:c r="Q91" s="24"/>
      <x:c r="R91" s="24"/>
      <x:c r="S91" s="24" t="str">
        <x:v>融资交易组成标准化方式=['CAPITAL_INCREASE']。</x:v>
      </x:c>
      <x:c r="T91" s="24" t="str">
        <x:v>TRX-301581-0004-01; TRX-301581-0005-01</x:v>
      </x:c>
      <x:c r="U91" s="24"/>
      <x:c r="V91" s="24" t="str">
        <x:v>FROZEN_UNCHANGED</x:v>
      </x:c>
      <x:c r="W91" s="24" t="n">
        <x:v>0</x:v>
      </x:c>
    </x:row>
    <x:row r="92" ht="52" customHeight="1">
      <x:c r="A92" s="24" t="str">
        <x:v>301581|CV024</x:v>
      </x:c>
      <x:c r="B92" s="24" t="str">
        <x:v>301581</x:v>
      </x:c>
      <x:c r="C92" s="24" t="str">
        <x:v>黄山谷捷</x:v>
      </x:c>
      <x:c r="D92" s="24" t="str">
        <x:v>CV024</x:v>
      </x:c>
      <x:c r="E92" s="24" t="str">
        <x:v>股权转让交易数</x:v>
      </x:c>
      <x:c r="F92" s="24" t="str">
        <x:v>二级股权流动</x:v>
      </x:c>
      <x:c r="G92" s="24" t="str">
        <x:v>A核心</x:v>
      </x:c>
      <x:c r="H92" s="24" t="str">
        <x:v>INTEGER</x:v>
      </x:c>
      <x:c r="I92" s="24" t="str">
        <x:v>笔</x:v>
      </x:c>
      <x:c r="J92" s="24" t="str">
        <x:v>计算值</x:v>
      </x:c>
      <x:c r="K92" s="24" t="str">
        <x:v>VALID</x:v>
      </x:c>
      <x:c r="L92" s="24" t="n">
        <x:v>1</x:v>
      </x:c>
      <x:c r="M92" s="24" t="str">
        <x:v>VALID</x:v>
      </x:c>
      <x:c r="N92" s="24" t="str">
        <x:v>OBSERVED_OR_CALCULATED</x:v>
      </x:c>
      <x:c r="O92" s="24" t="str">
        <x:v>符合Stage 3计算门槛。</x:v>
      </x:c>
      <x:c r="P92" s="24" t="n">
        <x:v>0</x:v>
      </x:c>
      <x:c r="Q92" s="24"/>
      <x:c r="R92" s="24"/>
      <x:c r="S92" s="24" t="str">
        <x:v>按EQUITY_TRANSFER交易记录计数。</x:v>
      </x:c>
      <x:c r="T92" s="24" t="str">
        <x:v>TRX-301581-0003-01</x:v>
      </x:c>
      <x:c r="U92" s="24"/>
      <x:c r="V92" s="24" t="str">
        <x:v>FROZEN_UNCHANGED</x:v>
      </x:c>
      <x:c r="W92" s="24" t="n">
        <x:v>0</x:v>
      </x:c>
    </x:row>
    <x:row r="93" ht="52" customHeight="1">
      <x:c r="A93" s="24" t="str">
        <x:v>301581|CV025</x:v>
      </x:c>
      <x:c r="B93" s="24" t="str">
        <x:v>301581</x:v>
      </x:c>
      <x:c r="C93" s="24" t="str">
        <x:v>黄山谷捷</x:v>
      </x:c>
      <x:c r="D93" s="24" t="str">
        <x:v>CV025</x:v>
      </x:c>
      <x:c r="E93" s="24" t="str">
        <x:v>可核验股权转让对价下限</x:v>
      </x:c>
      <x:c r="F93" s="24" t="str">
        <x:v>二级股权流动</x:v>
      </x:c>
      <x:c r="G93" s="24" t="str">
        <x:v>A核心</x:v>
      </x:c>
      <x:c r="H93" s="24" t="str">
        <x:v>CONTINUOUS</x:v>
      </x:c>
      <x:c r="I93" s="24" t="str">
        <x:v>万元人民币</x:v>
      </x:c>
      <x:c r="J93" s="24" t="str">
        <x:v>标准化值+计算值</x:v>
      </x:c>
      <x:c r="K93" s="24" t="str">
        <x:v>VALID</x:v>
      </x:c>
      <x:c r="L93" s="24" t="n">
        <x:v>0</x:v>
      </x:c>
      <x:c r="M93" s="24" t="str">
        <x:v>VALID</x:v>
      </x:c>
      <x:c r="N93" s="24" t="str">
        <x:v>OBSERVED_OR_CALCULATED</x:v>
      </x:c>
      <x:c r="O93" s="24" t="str">
        <x:v>符合Stage 3计算门槛。</x:v>
      </x:c>
      <x:c r="P93" s="24" t="n">
        <x:v>1</x:v>
      </x:c>
      <x:c r="Q93" s="24"/>
      <x:c r="R93" s="24"/>
      <x:c r="S93" s="24" t="str">
        <x:v>读取公司层冻结转让对价下限；状态=DISCLOSED_COMPLETE。</x:v>
      </x:c>
      <x:c r="T93" s="24" t="str">
        <x:v>companies:301581</x:v>
      </x:c>
      <x:c r="U93" s="24"/>
      <x:c r="V93" s="24" t="str">
        <x:v>FROZEN_UNCHANGED</x:v>
      </x:c>
      <x:c r="W93" s="24" t="n">
        <x:v>0</x:v>
      </x:c>
    </x:row>
    <x:row r="94" ht="52" customHeight="1">
      <x:c r="A94" s="24" t="str">
        <x:v>301581|CV026</x:v>
      </x:c>
      <x:c r="B94" s="24" t="str">
        <x:v>301581</x:v>
      </x:c>
      <x:c r="C94" s="24" t="str">
        <x:v>黄山谷捷</x:v>
      </x:c>
      <x:c r="D94" s="24" t="str">
        <x:v>CV026</x:v>
      </x:c>
      <x:c r="E94" s="24" t="str">
        <x:v>转让对价与融资金额比</x:v>
      </x:c>
      <x:c r="F94" s="24" t="str">
        <x:v>二级股权流动</x:v>
      </x:c>
      <x:c r="G94" s="24" t="str">
        <x:v>B扩展</x:v>
      </x:c>
      <x:c r="H94" s="24" t="str">
        <x:v>RATIO</x:v>
      </x:c>
      <x:c r="I94" s="24" t="str">
        <x:v>0–∞</x:v>
      </x:c>
      <x:c r="J94" s="24" t="str">
        <x:v>计算值</x:v>
      </x:c>
      <x:c r="K94" s="24" t="str">
        <x:v>VALID</x:v>
      </x:c>
      <x:c r="L94" s="24" t="n">
        <x:v>0</x:v>
      </x:c>
      <x:c r="M94" s="24" t="str">
        <x:v>VALID</x:v>
      </x:c>
      <x:c r="N94" s="24" t="str">
        <x:v>OBSERVED_OR_CALCULATED</x:v>
      </x:c>
      <x:c r="O94" s="24" t="str">
        <x:v>符合Stage 3计算门槛。</x:v>
      </x:c>
      <x:c r="P94" s="24" t="n">
        <x:v>1</x:v>
      </x:c>
      <x:c r="Q94" s="24"/>
      <x:c r="R94" s="24"/>
      <x:c r="S94" s="24" t="str">
        <x:v>转让对价下限/融资金额下限；两类金额未相加。</x:v>
      </x:c>
      <x:c r="T94" s="24" t="str">
        <x:v>companies:301581</x:v>
      </x:c>
      <x:c r="U94" s="24"/>
      <x:c r="V94" s="24" t="str">
        <x:v>FROZEN_UNCHANGED</x:v>
      </x:c>
      <x:c r="W94" s="24" t="n">
        <x:v>0</x:v>
      </x:c>
    </x:row>
    <x:row r="95" ht="52" customHeight="1">
      <x:c r="A95" s="24" t="str">
        <x:v>301581|CV027</x:v>
      </x:c>
      <x:c r="B95" s="24" t="str">
        <x:v>301581</x:v>
      </x:c>
      <x:c r="C95" s="24" t="str">
        <x:v>黄山谷捷</x:v>
      </x:c>
      <x:c r="D95" s="24" t="str">
        <x:v>CV027</x:v>
      </x:c>
      <x:c r="E95" s="24" t="str">
        <x:v>金额已知融资轮数</x:v>
      </x:c>
      <x:c r="F95" s="24" t="str">
        <x:v>数据可用性</x:v>
      </x:c>
      <x:c r="G95" s="24" t="str">
        <x:v>Q质量</x:v>
      </x:c>
      <x:c r="H95" s="24" t="str">
        <x:v>INTEGER</x:v>
      </x:c>
      <x:c r="I95" s="24" t="str">
        <x:v>轮</x:v>
      </x:c>
      <x:c r="J95" s="24" t="str">
        <x:v>计算值</x:v>
      </x:c>
      <x:c r="K95" s="24" t="str">
        <x:v>VALID</x:v>
      </x:c>
      <x:c r="L95" s="24" t="n">
        <x:v>2</x:v>
      </x:c>
      <x:c r="M95" s="24" t="str">
        <x:v>VALID</x:v>
      </x:c>
      <x:c r="N95" s="24" t="str">
        <x:v>OBSERVED_OR_CALCULATED</x:v>
      </x:c>
      <x:c r="O95" s="24" t="str">
        <x:v>符合Stage 3计算门槛。</x:v>
      </x:c>
      <x:c r="P95" s="24" t="n">
        <x:v>0</x:v>
      </x:c>
      <x:c r="Q95" s="24"/>
      <x:c r="R95" s="24"/>
      <x:c r="S95" s="24" t="str">
        <x:v>融资轮中金额非null记录数。</x:v>
      </x:c>
      <x:c r="T95" s="24" t="str">
        <x:v>EVT-301581-0004; EVT-301581-0005</x:v>
      </x:c>
      <x:c r="U95" s="24"/>
      <x:c r="V95" s="24" t="str">
        <x:v>FROZEN_UNCHANGED</x:v>
      </x:c>
      <x:c r="W95" s="24" t="n">
        <x:v>0</x:v>
      </x:c>
    </x:row>
    <x:row r="96" ht="52" customHeight="1">
      <x:c r="A96" s="24" t="str">
        <x:v>301581|CV028</x:v>
      </x:c>
      <x:c r="B96" s="24" t="str">
        <x:v>301581</x:v>
      </x:c>
      <x:c r="C96" s="24" t="str">
        <x:v>黄山谷捷</x:v>
      </x:c>
      <x:c r="D96" s="24" t="str">
        <x:v>CV028</x:v>
      </x:c>
      <x:c r="E96" s="24" t="str">
        <x:v>融资轮金额覆盖率</x:v>
      </x:c>
      <x:c r="F96" s="24" t="str">
        <x:v>数据可用性</x:v>
      </x:c>
      <x:c r="G96" s="24" t="str">
        <x:v>Q质量</x:v>
      </x:c>
      <x:c r="H96" s="24" t="str">
        <x:v>RATIO</x:v>
      </x:c>
      <x:c r="I96" s="24" t="str">
        <x:v>0–1</x:v>
      </x:c>
      <x:c r="J96" s="24" t="str">
        <x:v>计算值</x:v>
      </x:c>
      <x:c r="K96" s="24" t="str">
        <x:v>VALID</x:v>
      </x:c>
      <x:c r="L96" s="24" t="n">
        <x:v>1</x:v>
      </x:c>
      <x:c r="M96" s="24" t="str">
        <x:v>VALID</x:v>
      </x:c>
      <x:c r="N96" s="24" t="str">
        <x:v>OBSERVED_OR_CALCULATED</x:v>
      </x:c>
      <x:c r="O96" s="24" t="str">
        <x:v>符合Stage 3计算门槛。</x:v>
      </x:c>
      <x:c r="P96" s="24" t="n">
        <x:v>0</x:v>
      </x:c>
      <x:c r="Q96" s="24"/>
      <x:c r="R96" s="24"/>
      <x:c r="S96" s="24" t="str">
        <x:v>金额非null融资轮数/融资轮总数。</x:v>
      </x:c>
      <x:c r="T96" s="24" t="str">
        <x:v>EVT-301581-0004; EVT-301581-0005</x:v>
      </x:c>
      <x:c r="U96" s="24"/>
      <x:c r="V96" s="24" t="str">
        <x:v>FROZEN_UNCHANGED</x:v>
      </x:c>
      <x:c r="W96" s="24" t="n">
        <x:v>0</x:v>
      </x:c>
    </x:row>
    <x:row r="97" ht="52" customHeight="1">
      <x:c r="A97" s="24" t="str">
        <x:v>301581|CV029</x:v>
      </x:c>
      <x:c r="B97" s="24" t="str">
        <x:v>301581</x:v>
      </x:c>
      <x:c r="C97" s="24" t="str">
        <x:v>黄山谷捷</x:v>
      </x:c>
      <x:c r="D97" s="24" t="str">
        <x:v>CV029</x:v>
      </x:c>
      <x:c r="E97" s="24" t="str">
        <x:v>融资轮日期覆盖率</x:v>
      </x:c>
      <x:c r="F97" s="24" t="str">
        <x:v>数据可用性</x:v>
      </x:c>
      <x:c r="G97" s="24" t="str">
        <x:v>Q质量</x:v>
      </x:c>
      <x:c r="H97" s="24" t="str">
        <x:v>RATIO</x:v>
      </x:c>
      <x:c r="I97" s="24" t="str">
        <x:v>0–1</x:v>
      </x:c>
      <x:c r="J97" s="24" t="str">
        <x:v>计算值</x:v>
      </x:c>
      <x:c r="K97" s="24" t="str">
        <x:v>VALID</x:v>
      </x:c>
      <x:c r="L97" s="24" t="n">
        <x:v>1</x:v>
      </x:c>
      <x:c r="M97" s="24" t="str">
        <x:v>VALID</x:v>
      </x:c>
      <x:c r="N97" s="24" t="str">
        <x:v>OBSERVED_OR_CALCULATED</x:v>
      </x:c>
      <x:c r="O97" s="24" t="str">
        <x:v>符合Stage 3计算门槛。</x:v>
      </x:c>
      <x:c r="P97" s="24" t="n">
        <x:v>0</x:v>
      </x:c>
      <x:c r="Q97" s="24"/>
      <x:c r="R97" s="24"/>
      <x:c r="S97" s="24" t="str">
        <x:v>DAY或MONTH精度融资轮数/融资轮总数。</x:v>
      </x:c>
      <x:c r="T97" s="24" t="str">
        <x:v>EVT-301581-0004; EVT-301581-0005</x:v>
      </x:c>
      <x:c r="U97" s="24"/>
      <x:c r="V97" s="24" t="str">
        <x:v>FROZEN_UNCHANGED</x:v>
      </x:c>
      <x:c r="W97" s="24" t="n">
        <x:v>0</x:v>
      </x:c>
    </x:row>
    <x:row r="98" ht="52" customHeight="1">
      <x:c r="A98" s="24" t="str">
        <x:v>301581|CV030</x:v>
      </x:c>
      <x:c r="B98" s="24" t="str">
        <x:v>301581</x:v>
      </x:c>
      <x:c r="C98" s="24" t="str">
        <x:v>黄山谷捷</x:v>
      </x:c>
      <x:c r="D98" s="24" t="str">
        <x:v>CV030</x:v>
      </x:c>
      <x:c r="E98" s="24" t="str">
        <x:v>计算型轮次金额占比</x:v>
      </x:c>
      <x:c r="F98" s="24" t="str">
        <x:v>数值来源结构</x:v>
      </x:c>
      <x:c r="G98" s="24" t="str">
        <x:v>Q质量</x:v>
      </x:c>
      <x:c r="H98" s="24" t="str">
        <x:v>RATIO</x:v>
      </x:c>
      <x:c r="I98" s="24" t="str">
        <x:v>0–1</x:v>
      </x:c>
      <x:c r="J98" s="24" t="str">
        <x:v>计算值</x:v>
      </x:c>
      <x:c r="K98" s="24" t="str">
        <x:v>VALID</x:v>
      </x:c>
      <x:c r="L98" s="24" t="n">
        <x:v>1</x:v>
      </x:c>
      <x:c r="M98" s="24" t="str">
        <x:v>VALID</x:v>
      </x:c>
      <x:c r="N98" s="24" t="str">
        <x:v>OBSERVED_OR_CALCULATED</x:v>
      </x:c>
      <x:c r="O98" s="24" t="str">
        <x:v>符合Stage 3计算门槛。</x:v>
      </x:c>
      <x:c r="P98" s="24" t="n">
        <x:v>0</x:v>
      </x:c>
      <x:c r="Q98" s="24"/>
      <x:c r="R98" s="24"/>
      <x:c r="S98" s="24" t="str">
        <x:v>CALCULATED已知金额轮数/已知金额轮数。</x:v>
      </x:c>
      <x:c r="T98" s="24" t="str">
        <x:v>EVT-301581-0004; EVT-301581-0005</x:v>
      </x:c>
      <x:c r="U98" s="24"/>
      <x:c r="V98" s="24" t="str">
        <x:v>FROZEN_UNCHANGED</x:v>
      </x:c>
      <x:c r="W98" s="24" t="n">
        <x:v>0</x:v>
      </x:c>
    </x:row>
    <x:row r="99" ht="52" customHeight="1">
      <x:c r="A99" s="24" t="str">
        <x:v>301581|CV031</x:v>
      </x:c>
      <x:c r="B99" s="24" t="str">
        <x:v>301581</x:v>
      </x:c>
      <x:c r="C99" s="24" t="str">
        <x:v>黄山谷捷</x:v>
      </x:c>
      <x:c r="D99" s="24" t="str">
        <x:v>CV031</x:v>
      </x:c>
      <x:c r="E99" s="24" t="str">
        <x:v>每轮融资证据记录数</x:v>
      </x:c>
      <x:c r="F99" s="24" t="str">
        <x:v>证据密度</x:v>
      </x:c>
      <x:c r="G99" s="24" t="str">
        <x:v>Q质量</x:v>
      </x:c>
      <x:c r="H99" s="24" t="str">
        <x:v>RATIO</x:v>
      </x:c>
      <x:c r="I99" s="24" t="str">
        <x:v>条/轮</x:v>
      </x:c>
      <x:c r="J99" s="24" t="str">
        <x:v>计算值</x:v>
      </x:c>
      <x:c r="K99" s="24" t="str">
        <x:v>VALID</x:v>
      </x:c>
      <x:c r="L99" s="24" t="n">
        <x:v>1</x:v>
      </x:c>
      <x:c r="M99" s="24" t="str">
        <x:v>VALID</x:v>
      </x:c>
      <x:c r="N99" s="24" t="str">
        <x:v>OBSERVED_OR_CALCULATED</x:v>
      </x:c>
      <x:c r="O99" s="24" t="str">
        <x:v>符合Stage 3计算门槛。</x:v>
      </x:c>
      <x:c r="P99" s="24" t="n">
        <x:v>0</x:v>
      </x:c>
      <x:c r="Q99" s="24"/>
      <x:c r="R99" s="24"/>
      <x:c r="S99" s="24" t="str">
        <x:v>关联融资轮的去重evidence_id数/融资轮数。</x:v>
      </x:c>
      <x:c r="T99" s="24" t="str">
        <x:v>EVD-301581-0004-01; EVD-301581-0005-01</x:v>
      </x:c>
      <x:c r="U99" s="24"/>
      <x:c r="V99" s="24" t="str">
        <x:v>FROZEN_UNCHANGED</x:v>
      </x:c>
      <x:c r="W99" s="24" t="n">
        <x:v>0</x:v>
      </x:c>
    </x:row>
    <x:row r="100" ht="52" customHeight="1">
      <x:c r="A100" s="24" t="str">
        <x:v>301581|CV032</x:v>
      </x:c>
      <x:c r="B100" s="24" t="str">
        <x:v>301581</x:v>
      </x:c>
      <x:c r="C100" s="24" t="str">
        <x:v>黄山谷捷</x:v>
      </x:c>
      <x:c r="D100" s="24" t="str">
        <x:v>CV032</x:v>
      </x:c>
      <x:c r="E100" s="24" t="str">
        <x:v>公司级披露限制标记</x:v>
      </x:c>
      <x:c r="F100" s="24" t="str">
        <x:v>披露边界</x:v>
      </x:c>
      <x:c r="G100" s="24" t="str">
        <x:v>Q质量</x:v>
      </x:c>
      <x:c r="H100" s="24" t="str">
        <x:v>BINARY</x:v>
      </x:c>
      <x:c r="I100" s="24" t="str">
        <x:v>0/1</x:v>
      </x:c>
      <x:c r="J100" s="24" t="str">
        <x:v>研究判断派生</x:v>
      </x:c>
      <x:c r="K100" s="24" t="str">
        <x:v>VALID</x:v>
      </x:c>
      <x:c r="L100" s="24" t="n">
        <x:v>0</x:v>
      </x:c>
      <x:c r="M100" s="24" t="str">
        <x:v>VALID</x:v>
      </x:c>
      <x:c r="N100" s="24" t="str">
        <x:v>OBSERVED_OR_CALCULATED</x:v>
      </x:c>
      <x:c r="O100" s="24" t="str">
        <x:v>符合Stage 3计算门槛。</x:v>
      </x:c>
      <x:c r="P100" s="24" t="n">
        <x:v>1</x:v>
      </x:c>
      <x:c r="Q100" s="24"/>
      <x:c r="R100" s="24"/>
      <x:c r="S100" s="24" t="str">
        <x:v>FINAL_APPROVED公司记录中检查disclosure_limitation是否非空。</x:v>
      </x:c>
      <x:c r="T100" s="24" t="str">
        <x:v>companies:301581</x:v>
      </x:c>
      <x:c r="U100" s="24"/>
      <x:c r="V100" s="24" t="str">
        <x:v>FROZEN_UNCHANGED</x:v>
      </x:c>
      <x:c r="W100" s="24" t="n">
        <x:v>0</x:v>
      </x:c>
    </x:row>
    <x:row r="101" ht="52" customHeight="1">
      <x:c r="A101" s="24" t="str">
        <x:v>603418|CV001</x:v>
      </x:c>
      <x:c r="B101" s="24" t="str">
        <x:v>603418</x:v>
      </x:c>
      <x:c r="C101" s="24" t="str">
        <x:v>友升股份</x:v>
      </x:c>
      <x:c r="D101" s="24" t="str">
        <x:v>CV001</x:v>
      </x:c>
      <x:c r="E101" s="24" t="str">
        <x:v>上市前直接股权融资发生标记</x:v>
      </x:c>
      <x:c r="F101" s="24" t="str">
        <x:v>融资经历</x:v>
      </x:c>
      <x:c r="G101" s="24" t="str">
        <x:v>A核心</x:v>
      </x:c>
      <x:c r="H101" s="24" t="str">
        <x:v>BINARY</x:v>
      </x:c>
      <x:c r="I101" s="24" t="str">
        <x:v>0/1</x:v>
      </x:c>
      <x:c r="J101" s="24" t="str">
        <x:v>研究判断派生</x:v>
      </x:c>
      <x:c r="K101" s="24" t="str">
        <x:v>VALID</x:v>
      </x:c>
      <x:c r="L101" s="24" t="n">
        <x:v>1</x:v>
      </x:c>
      <x:c r="M101" s="24" t="str">
        <x:v>VALID</x:v>
      </x:c>
      <x:c r="N101" s="24" t="str">
        <x:v>OBSERVED_OR_CALCULATED</x:v>
      </x:c>
      <x:c r="O101" s="24" t="str">
        <x:v>符合Stage 3计算门槛。</x:v>
      </x:c>
      <x:c r="P101" s="24" t="n">
        <x:v>0</x:v>
      </x:c>
      <x:c r="Q101" s="24"/>
      <x:c r="R101" s="24"/>
      <x:c r="S101" s="24" t="str">
        <x:v>financing_round_count=2，据此生成二元标记。</x:v>
      </x:c>
      <x:c r="T101" s="24" t="str">
        <x:v>companies:603418</x:v>
      </x:c>
      <x:c r="U101" s="24"/>
      <x:c r="V101" s="24" t="str">
        <x:v>FROZEN_UNCHANGED</x:v>
      </x:c>
      <x:c r="W101" s="24" t="n">
        <x:v>0</x:v>
      </x:c>
    </x:row>
    <x:row r="102" ht="52" customHeight="1">
      <x:c r="A102" s="24" t="str">
        <x:v>603418|CV002</x:v>
      </x:c>
      <x:c r="B102" s="24" t="str">
        <x:v>603418</x:v>
      </x:c>
      <x:c r="C102" s="24" t="str">
        <x:v>友升股份</x:v>
      </x:c>
      <x:c r="D102" s="24" t="str">
        <x:v>CV002</x:v>
      </x:c>
      <x:c r="E102" s="24" t="str">
        <x:v>上市前直接股权融资轮数</x:v>
      </x:c>
      <x:c r="F102" s="24" t="str">
        <x:v>融资频度</x:v>
      </x:c>
      <x:c r="G102" s="24" t="str">
        <x:v>A核心</x:v>
      </x:c>
      <x:c r="H102" s="24" t="str">
        <x:v>INTEGER</x:v>
      </x:c>
      <x:c r="I102" s="24" t="str">
        <x:v>轮</x:v>
      </x:c>
      <x:c r="J102" s="24" t="str">
        <x:v>研究判断</x:v>
      </x:c>
      <x:c r="K102" s="24" t="str">
        <x:v>VALID</x:v>
      </x:c>
      <x:c r="L102" s="24" t="n">
        <x:v>2</x:v>
      </x:c>
      <x:c r="M102" s="24" t="str">
        <x:v>VALID</x:v>
      </x:c>
      <x:c r="N102" s="24" t="str">
        <x:v>OBSERVED_OR_CALCULATED</x:v>
      </x:c>
      <x:c r="O102" s="24" t="str">
        <x:v>符合Stage 3计算门槛。</x:v>
      </x:c>
      <x:c r="P102" s="24" t="n">
        <x:v>0</x:v>
      </x:c>
      <x:c r="Q102" s="24"/>
      <x:c r="R102" s="24"/>
      <x:c r="S102" s="24" t="str">
        <x:v>公司冻结轮次=2；事件层TRUE计数=2。</x:v>
      </x:c>
      <x:c r="T102" s="24" t="str">
        <x:v>companies:603418; EVT-603418-0003; EVT-603418-0004</x:v>
      </x:c>
      <x:c r="U102" s="24"/>
      <x:c r="V102" s="24" t="str">
        <x:v>FROZEN_UNCHANGED</x:v>
      </x:c>
      <x:c r="W102" s="24" t="n">
        <x:v>0</x:v>
      </x:c>
    </x:row>
    <x:row r="103" ht="52" customHeight="1">
      <x:c r="A103" s="24" t="str">
        <x:v>603418|CV003</x:v>
      </x:c>
      <x:c r="B103" s="24" t="str">
        <x:v>603418</x:v>
      </x:c>
      <x:c r="C103" s="24" t="str">
        <x:v>友升股份</x:v>
      </x:c>
      <x:c r="D103" s="24" t="str">
        <x:v>CV003</x:v>
      </x:c>
      <x:c r="E103" s="24" t="str">
        <x:v>可核验融资金额下限</x:v>
      </x:c>
      <x:c r="F103" s="24" t="str">
        <x:v>融资规模</x:v>
      </x:c>
      <x:c r="G103" s="24" t="str">
        <x:v>A核心</x:v>
      </x:c>
      <x:c r="H103" s="24" t="str">
        <x:v>CONTINUOUS</x:v>
      </x:c>
      <x:c r="I103" s="24" t="str">
        <x:v>万元人民币</x:v>
      </x:c>
      <x:c r="J103" s="24" t="str">
        <x:v>标准化值+计算值</x:v>
      </x:c>
      <x:c r="K103" s="24" t="str">
        <x:v>VALID</x:v>
      </x:c>
      <x:c r="L103" s="24" t="n">
        <x:v>48500</x:v>
      </x:c>
      <x:c r="M103" s="24" t="str">
        <x:v>VALID</x:v>
      </x:c>
      <x:c r="N103" s="24" t="str">
        <x:v>OBSERVED_OR_CALCULATED</x:v>
      </x:c>
      <x:c r="O103" s="24" t="str">
        <x:v>符合Stage 3计算门槛。</x:v>
      </x:c>
      <x:c r="P103" s="24" t="n">
        <x:v>0</x:v>
      </x:c>
      <x:c r="Q103" s="24"/>
      <x:c r="R103" s="24"/>
      <x:c r="S103" s="24" t="str">
        <x:v>读取公司层冻结金额；状态=DISCLOSED_COMPLETE。</x:v>
      </x:c>
      <x:c r="T103" s="24" t="str">
        <x:v>companies:603418</x:v>
      </x:c>
      <x:c r="U103" s="24"/>
      <x:c r="V103" s="24" t="str">
        <x:v>FROZEN_UNCHANGED</x:v>
      </x:c>
      <x:c r="W103" s="24" t="n">
        <x:v>0</x:v>
      </x:c>
    </x:row>
    <x:row r="104" ht="52" customHeight="1">
      <x:c r="A104" s="24" t="str">
        <x:v>603418|CV004</x:v>
      </x:c>
      <x:c r="B104" s="24" t="str">
        <x:v>603418</x:v>
      </x:c>
      <x:c r="C104" s="24" t="str">
        <x:v>友升股份</x:v>
      </x:c>
      <x:c r="D104" s="24" t="str">
        <x:v>CV004</x:v>
      </x:c>
      <x:c r="E104" s="24" t="str">
        <x:v>融资金额下限对数</x:v>
      </x:c>
      <x:c r="F104" s="24" t="str">
        <x:v>融资规模</x:v>
      </x:c>
      <x:c r="G104" s="24" t="str">
        <x:v>B扩展</x:v>
      </x:c>
      <x:c r="H104" s="24" t="str">
        <x:v>CONTINUOUS</x:v>
      </x:c>
      <x:c r="I104" s="24" t="str">
        <x:v>ln(1+万元)</x:v>
      </x:c>
      <x:c r="J104" s="24" t="str">
        <x:v>计算值</x:v>
      </x:c>
      <x:c r="K104" s="24" t="str">
        <x:v>VALID</x:v>
      </x:c>
      <x:c r="L104" s="24" t="n">
        <x:v>10.789339695269716</x:v>
      </x:c>
      <x:c r="M104" s="24" t="str">
        <x:v>VALID</x:v>
      </x:c>
      <x:c r="N104" s="24" t="str">
        <x:v>OBSERVED_OR_CALCULATED</x:v>
      </x:c>
      <x:c r="O104" s="24" t="str">
        <x:v>符合Stage 3计算门槛。</x:v>
      </x:c>
      <x:c r="P104" s="24" t="n">
        <x:v>0</x:v>
      </x:c>
      <x:c r="Q104" s="24"/>
      <x:c r="R104" s="24"/>
      <x:c r="S104" s="24" t="str">
        <x:v>LN(1+公司层融资金额下限)。</x:v>
      </x:c>
      <x:c r="T104" s="24" t="str">
        <x:v>companies:603418</x:v>
      </x:c>
      <x:c r="U104" s="24"/>
      <x:c r="V104" s="24" t="str">
        <x:v>FROZEN_UNCHANGED</x:v>
      </x:c>
      <x:c r="W104" s="24" t="n">
        <x:v>0</x:v>
      </x:c>
    </x:row>
    <x:row r="105" ht="52" customHeight="1">
      <x:c r="A105" s="24" t="str">
        <x:v>603418|CV005</x:v>
      </x:c>
      <x:c r="B105" s="24" t="str">
        <x:v>603418</x:v>
      </x:c>
      <x:c r="C105" s="24" t="str">
        <x:v>友升股份</x:v>
      </x:c>
      <x:c r="D105" s="24" t="str">
        <x:v>CV005</x:v>
      </x:c>
      <x:c r="E105" s="24" t="str">
        <x:v>已知金额轮次均值</x:v>
      </x:c>
      <x:c r="F105" s="24" t="str">
        <x:v>单轮融资规模</x:v>
      </x:c>
      <x:c r="G105" s="24" t="str">
        <x:v>A核心</x:v>
      </x:c>
      <x:c r="H105" s="24" t="str">
        <x:v>CONTINUOUS</x:v>
      </x:c>
      <x:c r="I105" s="24" t="str">
        <x:v>万元人民币/已知轮</x:v>
      </x:c>
      <x:c r="J105" s="24" t="str">
        <x:v>计算值</x:v>
      </x:c>
      <x:c r="K105" s="24" t="str">
        <x:v>VALID</x:v>
      </x:c>
      <x:c r="L105" s="24" t="n">
        <x:v>24250</x:v>
      </x:c>
      <x:c r="M105" s="24" t="str">
        <x:v>VALID</x:v>
      </x:c>
      <x:c r="N105" s="24" t="str">
        <x:v>OBSERVED_OR_CALCULATED</x:v>
      </x:c>
      <x:c r="O105" s="24" t="str">
        <x:v>符合Stage 3计算门槛。</x:v>
      </x:c>
      <x:c r="P105" s="24" t="n">
        <x:v>0</x:v>
      </x:c>
      <x:c r="Q105" s="24"/>
      <x:c r="R105" s="24"/>
      <x:c r="S105" s="24" t="str">
        <x:v>基于2个非null融资轮金额计算已知轮次金额均值。</x:v>
      </x:c>
      <x:c r="T105" s="24" t="str">
        <x:v>EVT-603418-0003; EVT-603418-0004</x:v>
      </x:c>
      <x:c r="U105" s="24"/>
      <x:c r="V105" s="24" t="str">
        <x:v>FROZEN_UNCHANGED</x:v>
      </x:c>
      <x:c r="W105" s="24" t="n">
        <x:v>0</x:v>
      </x:c>
    </x:row>
    <x:row r="106" ht="52" customHeight="1">
      <x:c r="A106" s="24" t="str">
        <x:v>603418|CV006</x:v>
      </x:c>
      <x:c r="B106" s="24" t="str">
        <x:v>603418</x:v>
      </x:c>
      <x:c r="C106" s="24" t="str">
        <x:v>友升股份</x:v>
      </x:c>
      <x:c r="D106" s="24" t="str">
        <x:v>CV006</x:v>
      </x:c>
      <x:c r="E106" s="24" t="str">
        <x:v>已知金额轮次中位数</x:v>
      </x:c>
      <x:c r="F106" s="24" t="str">
        <x:v>单轮融资规模</x:v>
      </x:c>
      <x:c r="G106" s="24" t="str">
        <x:v>B扩展</x:v>
      </x:c>
      <x:c r="H106" s="24" t="str">
        <x:v>CONTINUOUS</x:v>
      </x:c>
      <x:c r="I106" s="24" t="str">
        <x:v>万元人民币/已知轮</x:v>
      </x:c>
      <x:c r="J106" s="24" t="str">
        <x:v>计算值</x:v>
      </x:c>
      <x:c r="K106" s="24" t="str">
        <x:v>VALID</x:v>
      </x:c>
      <x:c r="L106" s="24" t="n">
        <x:v>24250</x:v>
      </x:c>
      <x:c r="M106" s="24" t="str">
        <x:v>VALID</x:v>
      </x:c>
      <x:c r="N106" s="24" t="str">
        <x:v>OBSERVED_OR_CALCULATED</x:v>
      </x:c>
      <x:c r="O106" s="24" t="str">
        <x:v>符合Stage 3计算门槛。</x:v>
      </x:c>
      <x:c r="P106" s="24" t="n">
        <x:v>0</x:v>
      </x:c>
      <x:c r="Q106" s="24"/>
      <x:c r="R106" s="24"/>
      <x:c r="S106" s="24" t="str">
        <x:v>基于2个非null融资轮金额计算已知轮次金额中位数。</x:v>
      </x:c>
      <x:c r="T106" s="24" t="str">
        <x:v>EVT-603418-0003; EVT-603418-0004</x:v>
      </x:c>
      <x:c r="U106" s="24"/>
      <x:c r="V106" s="24" t="str">
        <x:v>FROZEN_UNCHANGED</x:v>
      </x:c>
      <x:c r="W106" s="24" t="n">
        <x:v>0</x:v>
      </x:c>
    </x:row>
    <x:row r="107" ht="52" customHeight="1">
      <x:c r="A107" s="24" t="str">
        <x:v>603418|CV007</x:v>
      </x:c>
      <x:c r="B107" s="24" t="str">
        <x:v>603418</x:v>
      </x:c>
      <x:c r="C107" s="24" t="str">
        <x:v>友升股份</x:v>
      </x:c>
      <x:c r="D107" s="24" t="str">
        <x:v>CV007</x:v>
      </x:c>
      <x:c r="E107" s="24" t="str">
        <x:v>最大已知单轮融资金额</x:v>
      </x:c>
      <x:c r="F107" s="24" t="str">
        <x:v>融资峰值</x:v>
      </x:c>
      <x:c r="G107" s="24" t="str">
        <x:v>B扩展</x:v>
      </x:c>
      <x:c r="H107" s="24" t="str">
        <x:v>CONTINUOUS</x:v>
      </x:c>
      <x:c r="I107" s="24" t="str">
        <x:v>万元人民币</x:v>
      </x:c>
      <x:c r="J107" s="24" t="str">
        <x:v>计算值</x:v>
      </x:c>
      <x:c r="K107" s="24" t="str">
        <x:v>VALID</x:v>
      </x:c>
      <x:c r="L107" s="24" t="n">
        <x:v>37000</x:v>
      </x:c>
      <x:c r="M107" s="24" t="str">
        <x:v>VALID</x:v>
      </x:c>
      <x:c r="N107" s="24" t="str">
        <x:v>OBSERVED_OR_CALCULATED</x:v>
      </x:c>
      <x:c r="O107" s="24" t="str">
        <x:v>符合Stage 3计算门槛。</x:v>
      </x:c>
      <x:c r="P107" s="24" t="n">
        <x:v>0</x:v>
      </x:c>
      <x:c r="Q107" s="24"/>
      <x:c r="R107" s="24"/>
      <x:c r="S107" s="24" t="str">
        <x:v>基于2个非null融资轮金额计算最大已知轮次金额。</x:v>
      </x:c>
      <x:c r="T107" s="24" t="str">
        <x:v>EVT-603418-0003; EVT-603418-0004</x:v>
      </x:c>
      <x:c r="U107" s="24"/>
      <x:c r="V107" s="24" t="str">
        <x:v>FROZEN_UNCHANGED</x:v>
      </x:c>
      <x:c r="W107" s="24" t="n">
        <x:v>0</x:v>
      </x:c>
    </x:row>
    <x:row r="108" ht="52" customHeight="1">
      <x:c r="A108" s="24" t="str">
        <x:v>603418|CV008</x:v>
      </x:c>
      <x:c r="B108" s="24" t="str">
        <x:v>603418</x:v>
      </x:c>
      <x:c r="C108" s="24" t="str">
        <x:v>友升股份</x:v>
      </x:c>
      <x:c r="D108" s="24" t="str">
        <x:v>CV008</x:v>
      </x:c>
      <x:c r="E108" s="24" t="str">
        <x:v>最大已知轮金额占比</x:v>
      </x:c>
      <x:c r="F108" s="24" t="str">
        <x:v>融资集中度</x:v>
      </x:c>
      <x:c r="G108" s="24" t="str">
        <x:v>B扩展</x:v>
      </x:c>
      <x:c r="H108" s="24" t="str">
        <x:v>RATIO</x:v>
      </x:c>
      <x:c r="I108" s="24" t="str">
        <x:v>0–1</x:v>
      </x:c>
      <x:c r="J108" s="24" t="str">
        <x:v>计算值</x:v>
      </x:c>
      <x:c r="K108" s="24" t="str">
        <x:v>VALID</x:v>
      </x:c>
      <x:c r="L108" s="24" t="n">
        <x:v>0.7628865979381443</x:v>
      </x:c>
      <x:c r="M108" s="24" t="str">
        <x:v>VALID</x:v>
      </x:c>
      <x:c r="N108" s="24" t="str">
        <x:v>OBSERVED_OR_CALCULATED</x:v>
      </x:c>
      <x:c r="O108" s="24" t="str">
        <x:v>符合Stage 3计算门槛。</x:v>
      </x:c>
      <x:c r="P108" s="24" t="n">
        <x:v>0</x:v>
      </x:c>
      <x:c r="Q108" s="24"/>
      <x:c r="R108" s="24"/>
      <x:c r="S108" s="24" t="str">
        <x:v>最大已知轮金额/已知事件锚点金额合计。</x:v>
      </x:c>
      <x:c r="T108" s="24" t="str">
        <x:v>EVT-603418-0003; EVT-603418-0004</x:v>
      </x:c>
      <x:c r="U108" s="24"/>
      <x:c r="V108" s="24" t="str">
        <x:v>FROZEN_UNCHANGED</x:v>
      </x:c>
      <x:c r="W108" s="24" t="n">
        <x:v>0</x:v>
      </x:c>
    </x:row>
    <x:row r="109" ht="52" customHeight="1">
      <x:c r="A109" s="24" t="str">
        <x:v>603418|CV009</x:v>
      </x:c>
      <x:c r="B109" s="24" t="str">
        <x:v>603418</x:v>
      </x:c>
      <x:c r="C109" s="24" t="str">
        <x:v>友升股份</x:v>
      </x:c>
      <x:c r="D109" s="24" t="str">
        <x:v>CV009</x:v>
      </x:c>
      <x:c r="E109" s="24" t="str">
        <x:v>融资时间跨度</x:v>
      </x:c>
      <x:c r="F109" s="24" t="str">
        <x:v>融资节奏</x:v>
      </x:c>
      <x:c r="G109" s="24" t="str">
        <x:v>A核心</x:v>
      </x:c>
      <x:c r="H109" s="24" t="str">
        <x:v>CONTINUOUS</x:v>
      </x:c>
      <x:c r="I109" s="24" t="str">
        <x:v>月</x:v>
      </x:c>
      <x:c r="J109" s="24" t="str">
        <x:v>计算值</x:v>
      </x:c>
      <x:c r="K109" s="24" t="str">
        <x:v>VALID</x:v>
      </x:c>
      <x:c r="L109" s="24" t="n">
        <x:v>27</x:v>
      </x:c>
      <x:c r="M109" s="24" t="str">
        <x:v>VALID</x:v>
      </x:c>
      <x:c r="N109" s="24" t="str">
        <x:v>OBSERVED_OR_CALCULATED</x:v>
      </x:c>
      <x:c r="O109" s="24" t="str">
        <x:v>符合Stage 3计算门槛。</x:v>
      </x:c>
      <x:c r="P109" s="24" t="n">
        <x:v>0</x:v>
      </x:c>
      <x:c r="Q109" s="24"/>
      <x:c r="R109" s="24"/>
      <x:c r="S109" s="24" t="str">
        <x:v>使用2个可用年月计算最晚减最早。</x:v>
      </x:c>
      <x:c r="T109" s="24" t="str">
        <x:v>EVT-603418-0003; EVT-603418-0004</x:v>
      </x:c>
      <x:c r="U109" s="24"/>
      <x:c r="V109" s="24" t="str">
        <x:v>FROZEN_UNCHANGED</x:v>
      </x:c>
      <x:c r="W109" s="24" t="n">
        <x:v>0</x:v>
      </x:c>
    </x:row>
    <x:row r="110" ht="52" customHeight="1">
      <x:c r="A110" s="24" t="str">
        <x:v>603418|CV010</x:v>
      </x:c>
      <x:c r="B110" s="24" t="str">
        <x:v>603418</x:v>
      </x:c>
      <x:c r="C110" s="24" t="str">
        <x:v>友升股份</x:v>
      </x:c>
      <x:c r="D110" s="24" t="str">
        <x:v>CV010</x:v>
      </x:c>
      <x:c r="E110" s="24" t="str">
        <x:v>融资轮次间隔中位数</x:v>
      </x:c>
      <x:c r="F110" s="24" t="str">
        <x:v>融资节奏</x:v>
      </x:c>
      <x:c r="G110" s="24" t="str">
        <x:v>B扩展</x:v>
      </x:c>
      <x:c r="H110" s="24" t="str">
        <x:v>CONTINUOUS</x:v>
      </x:c>
      <x:c r="I110" s="24" t="str">
        <x:v>月</x:v>
      </x:c>
      <x:c r="J110" s="24" t="str">
        <x:v>计算值</x:v>
      </x:c>
      <x:c r="K110" s="24" t="str">
        <x:v>VALID</x:v>
      </x:c>
      <x:c r="L110" s="24" t="n">
        <x:v>27</x:v>
      </x:c>
      <x:c r="M110" s="24" t="str">
        <x:v>VALID</x:v>
      </x:c>
      <x:c r="N110" s="24" t="str">
        <x:v>OBSERVED_OR_CALCULATED</x:v>
      </x:c>
      <x:c r="O110" s="24" t="str">
        <x:v>符合Stage 3计算门槛。</x:v>
      </x:c>
      <x:c r="P110" s="24" t="n">
        <x:v>0</x:v>
      </x:c>
      <x:c r="Q110" s="24"/>
      <x:c r="R110" s="24"/>
      <x:c r="S110" s="24" t="str">
        <x:v>对1个相邻月份差取中位数。</x:v>
      </x:c>
      <x:c r="T110" s="24" t="str">
        <x:v>EVT-603418-0003; EVT-603418-0004</x:v>
      </x:c>
      <x:c r="U110" s="24"/>
      <x:c r="V110" s="24" t="str">
        <x:v>FROZEN_UNCHANGED</x:v>
      </x:c>
      <x:c r="W110" s="24" t="n">
        <x:v>0</x:v>
      </x:c>
    </x:row>
    <x:row r="111" ht="52" customHeight="1">
      <x:c r="A111" s="24" t="str">
        <x:v>603418|CV011</x:v>
      </x:c>
      <x:c r="B111" s="24" t="str">
        <x:v>603418</x:v>
      </x:c>
      <x:c r="C111" s="24" t="str">
        <x:v>友升股份</x:v>
      </x:c>
      <x:c r="D111" s="24" t="str">
        <x:v>CV011</x:v>
      </x:c>
      <x:c r="E111" s="24" t="str">
        <x:v>确认PE/VC参与标记</x:v>
      </x:c>
      <x:c r="F111" s="24" t="str">
        <x:v>PEVC参与</x:v>
      </x:c>
      <x:c r="G111" s="24" t="str">
        <x:v>A核心</x:v>
      </x:c>
      <x:c r="H111" s="24" t="str">
        <x:v>BINARY</x:v>
      </x:c>
      <x:c r="I111" s="24" t="str">
        <x:v>0/1</x:v>
      </x:c>
      <x:c r="J111" s="24" t="str">
        <x:v>研究判断派生</x:v>
      </x:c>
      <x:c r="K111" s="24" t="str">
        <x:v>VALID</x:v>
      </x:c>
      <x:c r="L111" s="24" t="n">
        <x:v>1</x:v>
      </x:c>
      <x:c r="M111" s="24" t="str">
        <x:v>VALID</x:v>
      </x:c>
      <x:c r="N111" s="24" t="str">
        <x:v>OBSERVED_OR_CALCULATED</x:v>
      </x:c>
      <x:c r="O111" s="24" t="str">
        <x:v>符合Stage 3计算门槛。</x:v>
      </x:c>
      <x:c r="P111" s="24" t="n">
        <x:v>0</x:v>
      </x:c>
      <x:c r="Q111" s="24"/>
      <x:c r="R111" s="24"/>
      <x:c r="S111" s="24" t="str">
        <x:v>confirmed_pevc_legal_entity_count=2。</x:v>
      </x:c>
      <x:c r="T111" s="24" t="str">
        <x:v>companies:603418</x:v>
      </x:c>
      <x:c r="U111" s="24"/>
      <x:c r="V111" s="24" t="str">
        <x:v>FROZEN_UNCHANGED</x:v>
      </x:c>
      <x:c r="W111" s="24" t="n">
        <x:v>0</x:v>
      </x:c>
    </x:row>
    <x:row r="112" ht="52" customHeight="1">
      <x:c r="A112" s="24" t="str">
        <x:v>603418|CV012</x:v>
      </x:c>
      <x:c r="B112" s="24" t="str">
        <x:v>603418</x:v>
      </x:c>
      <x:c r="C112" s="24" t="str">
        <x:v>友升股份</x:v>
      </x:c>
      <x:c r="D112" s="24" t="str">
        <x:v>CV012</x:v>
      </x:c>
      <x:c r="E112" s="24" t="str">
        <x:v>确认PE/VC法律主体数</x:v>
      </x:c>
      <x:c r="F112" s="24" t="str">
        <x:v>PEVC参与</x:v>
      </x:c>
      <x:c r="G112" s="24" t="str">
        <x:v>A核心</x:v>
      </x:c>
      <x:c r="H112" s="24" t="str">
        <x:v>INTEGER</x:v>
      </x:c>
      <x:c r="I112" s="24" t="str">
        <x:v>个</x:v>
      </x:c>
      <x:c r="J112" s="24" t="str">
        <x:v>计算值+研究判断</x:v>
      </x:c>
      <x:c r="K112" s="24" t="str">
        <x:v>VALID</x:v>
      </x:c>
      <x:c r="L112" s="24" t="n">
        <x:v>2</x:v>
      </x:c>
      <x:c r="M112" s="24" t="str">
        <x:v>VALID</x:v>
      </x:c>
      <x:c r="N112" s="24" t="str">
        <x:v>OBSERVED_OR_CALCULATED</x:v>
      </x:c>
      <x:c r="O112" s="24" t="str">
        <x:v>符合Stage 3计算门槛。</x:v>
      </x:c>
      <x:c r="P112" s="24" t="n">
        <x:v>0</x:v>
      </x:c>
      <x:c r="Q112" s="24"/>
      <x:c r="R112" s="24"/>
      <x:c r="S112" s="24" t="str">
        <x:v>读取公司层冻结确认PE/VC法律主体数。</x:v>
      </x:c>
      <x:c r="T112" s="24" t="str">
        <x:v>companies:603418</x:v>
      </x:c>
      <x:c r="U112" s="24"/>
      <x:c r="V112" s="24" t="str">
        <x:v>FROZEN_UNCHANGED</x:v>
      </x:c>
      <x:c r="W112" s="24" t="n">
        <x:v>0</x:v>
      </x:c>
    </x:row>
    <x:row r="113" ht="52" customHeight="1">
      <x:c r="A113" s="24" t="str">
        <x:v>603418|CV013</x:v>
      </x:c>
      <x:c r="B113" s="24" t="str">
        <x:v>603418</x:v>
      </x:c>
      <x:c r="C113" s="24" t="str">
        <x:v>友升股份</x:v>
      </x:c>
      <x:c r="D113" s="24" t="str">
        <x:v>CV013</x:v>
      </x:c>
      <x:c r="E113" s="24" t="str">
        <x:v>确认PE/VC占直接主体比重</x:v>
      </x:c>
      <x:c r="F113" s="24" t="str">
        <x:v>PEVC参与</x:v>
      </x:c>
      <x:c r="G113" s="24" t="str">
        <x:v>B扩展</x:v>
      </x:c>
      <x:c r="H113" s="24" t="str">
        <x:v>RATIO</x:v>
      </x:c>
      <x:c r="I113" s="24" t="str">
        <x:v>0–1</x:v>
      </x:c>
      <x:c r="J113" s="24" t="str">
        <x:v>计算值+研究判断</x:v>
      </x:c>
      <x:c r="K113" s="24" t="str">
        <x:v>VALID</x:v>
      </x:c>
      <x:c r="L113" s="24" t="n">
        <x:v>0.15384615384615385</x:v>
      </x:c>
      <x:c r="M113" s="24" t="str">
        <x:v>VALID</x:v>
      </x:c>
      <x:c r="N113" s="24" t="str">
        <x:v>OBSERVED_OR_CALCULATED</x:v>
      </x:c>
      <x:c r="O113" s="24" t="str">
        <x:v>符合Stage 3计算门槛。</x:v>
      </x:c>
      <x:c r="P113" s="24" t="n">
        <x:v>0</x:v>
      </x:c>
      <x:c r="Q113" s="24"/>
      <x:c r="R113" s="24"/>
      <x:c r="S113" s="24" t="str">
        <x:v>确认PE/VC法律主体数/直接参与法律主体数。</x:v>
      </x:c>
      <x:c r="T113" s="24" t="str">
        <x:v>companies:603418</x:v>
      </x:c>
      <x:c r="U113" s="24"/>
      <x:c r="V113" s="24" t="str">
        <x:v>FROZEN_UNCHANGED</x:v>
      </x:c>
      <x:c r="W113" s="24" t="n">
        <x:v>0</x:v>
      </x:c>
    </x:row>
    <x:row r="114" ht="52" customHeight="1">
      <x:c r="A114" s="24" t="str">
        <x:v>603418|CV014</x:v>
      </x:c>
      <x:c r="B114" s="24" t="str">
        <x:v>603418</x:v>
      </x:c>
      <x:c r="C114" s="24" t="str">
        <x:v>友升股份</x:v>
      </x:c>
      <x:c r="D114" s="24" t="str">
        <x:v>CV014</x:v>
      </x:c>
      <x:c r="E114" s="24" t="str">
        <x:v>确认PE/VC参与融资轮数</x:v>
      </x:c>
      <x:c r="F114" s="24" t="str">
        <x:v>PEVC参与深度</x:v>
      </x:c>
      <x:c r="G114" s="24" t="str">
        <x:v>B扩展</x:v>
      </x:c>
      <x:c r="H114" s="24" t="str">
        <x:v>INTEGER</x:v>
      </x:c>
      <x:c r="I114" s="24" t="str">
        <x:v>轮</x:v>
      </x:c>
      <x:c r="J114" s="24" t="str">
        <x:v>研究判断派生+Week9补充研究层</x:v>
      </x:c>
      <x:c r="K114" s="24" t="str">
        <x:v>NOT_COMPUTABLE</x:v>
      </x:c>
      <x:c r="L114" s="24" t="n">
        <x:v>1</x:v>
      </x:c>
      <x:c r="M114" s="24" t="str">
        <x:v>VALID</x:v>
      </x:c>
      <x:c r="N114" s="24" t="str">
        <x:v>REPAIRED_AND_FROZEN_STAGE4C</x:v>
      </x:c>
      <x:c r="O114" s="24" t="str">
        <x:v>经S4B2证据闸门修复并在Stage4C冻结。</x:v>
      </x:c>
      <x:c r="P114" s="24" t="n">
        <x:v>0</x:v>
      </x:c>
      <x:c r="Q114" s="24" t="str">
        <x:v>W9_SUPPLEMENTARY_PEVC_PARTY_BRIDGE</x:v>
      </x:c>
      <x:c r="R114" s="24" t="str">
        <x:v>以确认路径和原文认购关系补充party bridge；匿名PTY未强行映射。</x:v>
      </x:c>
      <x:c r="S114" s="24" t="str">
        <x:v>按补充PE/VC party bridge关联融资轮并按event_id去重。</x:v>
      </x:c>
      <x:c r="T114" s="24" t="str">
        <x:v>SUP-PARTY-BRIDGE-603418-001; SUP-PARTY-BRIDGE-603418-002</x:v>
      </x:c>
      <x:c r="U114" s="24" t="str">
        <x:v>S4B2</x:v>
      </x:c>
      <x:c r="V114" s="24" t="str">
        <x:v>FROZEN_REPAIRED</x:v>
      </x:c>
      <x:c r="W114" s="24" t="n">
        <x:v>1</x:v>
      </x:c>
    </x:row>
    <x:row r="115" ht="52" customHeight="1">
      <x:c r="A115" s="24" t="str">
        <x:v>603418|CV015</x:v>
      </x:c>
      <x:c r="B115" s="24" t="str">
        <x:v>603418</x:v>
      </x:c>
      <x:c r="C115" s="24" t="str">
        <x:v>友升股份</x:v>
      </x:c>
      <x:c r="D115" s="24" t="str">
        <x:v>CV015</x:v>
      </x:c>
      <x:c r="E115" s="24" t="str">
        <x:v>首次确认PE/VC进入日期</x:v>
      </x:c>
      <x:c r="F115" s="24" t="str">
        <x:v>PEVC进入时点</x:v>
      </x:c>
      <x:c r="G115" s="24" t="str">
        <x:v>A核心</x:v>
      </x:c>
      <x:c r="H115" s="24" t="str">
        <x:v>DATE_OR_MONTH</x:v>
      </x:c>
      <x:c r="I115" s="24" t="str">
        <x:v>日期或年月</x:v>
      </x:c>
      <x:c r="J115" s="24" t="str">
        <x:v>研究判断派生</x:v>
      </x:c>
      <x:c r="K115" s="24" t="str">
        <x:v>VALID</x:v>
      </x:c>
      <x:c r="L115" s="24" t="str">
        <x:v>2020-09</x:v>
      </x:c>
      <x:c r="M115" s="24" t="str">
        <x:v>VALID</x:v>
      </x:c>
      <x:c r="N115" s="24" t="str">
        <x:v>OBSERVED_OR_CALCULATED</x:v>
      </x:c>
      <x:c r="O115" s="24" t="str">
        <x:v>符合Stage 3计算门槛。</x:v>
      </x:c>
      <x:c r="P115" s="24" t="n">
        <x:v>0</x:v>
      </x:c>
      <x:c r="Q115" s="24"/>
      <x:c r="R115" s="24"/>
      <x:c r="S115" s="24" t="str">
        <x:v>在确认PE/VC路径中取最早可用日期，精度=MONTH。</x:v>
      </x:c>
      <x:c r="T115" s="24" t="str">
        <x:v>PATH-603418-00006-E01</x:v>
      </x:c>
      <x:c r="U115" s="24"/>
      <x:c r="V115" s="24" t="str">
        <x:v>FROZEN_UNCHANGED</x:v>
      </x:c>
      <x:c r="W115" s="24" t="n">
        <x:v>0</x:v>
      </x:c>
    </x:row>
    <x:row r="116" ht="52" customHeight="1">
      <x:c r="A116" s="24" t="str">
        <x:v>603418|CV016</x:v>
      </x:c>
      <x:c r="B116" s="24" t="str">
        <x:v>603418</x:v>
      </x:c>
      <x:c r="C116" s="24" t="str">
        <x:v>友升股份</x:v>
      </x:c>
      <x:c r="D116" s="24" t="str">
        <x:v>CV016</x:v>
      </x:c>
      <x:c r="E116" s="24" t="str">
        <x:v>首次确认PE/VC进入年份</x:v>
      </x:c>
      <x:c r="F116" s="24" t="str">
        <x:v>PEVC进入时点</x:v>
      </x:c>
      <x:c r="G116" s="24" t="str">
        <x:v>B扩展</x:v>
      </x:c>
      <x:c r="H116" s="24" t="str">
        <x:v>INTEGER</x:v>
      </x:c>
      <x:c r="I116" s="24" t="str">
        <x:v>年</x:v>
      </x:c>
      <x:c r="J116" s="24" t="str">
        <x:v>计算值+研究判断</x:v>
      </x:c>
      <x:c r="K116" s="24" t="str">
        <x:v>VALID</x:v>
      </x:c>
      <x:c r="L116" s="24" t="n">
        <x:v>2020</x:v>
      </x:c>
      <x:c r="M116" s="24" t="str">
        <x:v>VALID</x:v>
      </x:c>
      <x:c r="N116" s="24" t="str">
        <x:v>OBSERVED_OR_CALCULATED</x:v>
      </x:c>
      <x:c r="O116" s="24" t="str">
        <x:v>符合Stage 3计算门槛。</x:v>
      </x:c>
      <x:c r="P116" s="24" t="n">
        <x:v>0</x:v>
      </x:c>
      <x:c r="Q116" s="24"/>
      <x:c r="R116" s="24"/>
      <x:c r="S116" s="24" t="str">
        <x:v>从首次进入日期提取年份。</x:v>
      </x:c>
      <x:c r="T116" s="24" t="str">
        <x:v>PATH-603418-00006-E01</x:v>
      </x:c>
      <x:c r="U116" s="24"/>
      <x:c r="V116" s="24" t="str">
        <x:v>FROZEN_UNCHANGED</x:v>
      </x:c>
      <x:c r="W116" s="24" t="n">
        <x:v>0</x:v>
      </x:c>
    </x:row>
    <x:row r="117" ht="52" customHeight="1">
      <x:c r="A117" s="24" t="str">
        <x:v>603418|CV017</x:v>
      </x:c>
      <x:c r="B117" s="24" t="str">
        <x:v>603418</x:v>
      </x:c>
      <x:c r="C117" s="24" t="str">
        <x:v>友升股份</x:v>
      </x:c>
      <x:c r="D117" s="24" t="str">
        <x:v>CV017</x:v>
      </x:c>
      <x:c r="E117" s="24" t="str">
        <x:v>首次确认PE/VC融资轮位置</x:v>
      </x:c>
      <x:c r="F117" s="24" t="str">
        <x:v>PEVC进入时点</x:v>
      </x:c>
      <x:c r="G117" s="24" t="str">
        <x:v>B扩展</x:v>
      </x:c>
      <x:c r="H117" s="24" t="str">
        <x:v>RATIO</x:v>
      </x:c>
      <x:c r="I117" s="24" t="str">
        <x:v>0–1</x:v>
      </x:c>
      <x:c r="J117" s="24" t="str">
        <x:v>研究判断派生+Week9补充研究层</x:v>
      </x:c>
      <x:c r="K117" s="24" t="str">
        <x:v>NOT_COMPUTABLE</x:v>
      </x:c>
      <x:c r="L117" s="24" t="n">
        <x:v>0.5</x:v>
      </x:c>
      <x:c r="M117" s="24" t="str">
        <x:v>VALID</x:v>
      </x:c>
      <x:c r="N117" s="24" t="str">
        <x:v>REPAIRED_AND_FROZEN_STAGE4C</x:v>
      </x:c>
      <x:c r="O117" s="24" t="str">
        <x:v>经S4B2证据闸门修复并在Stage4C冻结。</x:v>
      </x:c>
      <x:c r="P117" s="24" t="n">
        <x:v>0</x:v>
      </x:c>
      <x:c r="Q117" s="24" t="str">
        <x:v>W9_SUPPLEMENTARY_PEVC_PARTY_BRIDGE</x:v>
      </x:c>
      <x:c r="R117" s="24" t="str">
        <x:v>以确认路径和原文认购关系补充party bridge；匿名PTY未强行映射。</x:v>
      </x:c>
      <x:c r="S117" s="24" t="str">
        <x:v>首次确认PE/VC融资轮序位1/冻结融资轮数2。</x:v>
      </x:c>
      <x:c r="T117" s="24" t="str">
        <x:v>SUP-PARTY-BRIDGE-603418-001; SUP-PARTY-BRIDGE-603418-002</x:v>
      </x:c>
      <x:c r="U117" s="24" t="str">
        <x:v>S4B2</x:v>
      </x:c>
      <x:c r="V117" s="24" t="str">
        <x:v>FROZEN_REPAIRED</x:v>
      </x:c>
      <x:c r="W117" s="24" t="n">
        <x:v>1</x:v>
      </x:c>
    </x:row>
    <x:row r="118" ht="52" customHeight="1">
      <x:c r="A118" s="24" t="str">
        <x:v>603418|CV018</x:v>
      </x:c>
      <x:c r="B118" s="24" t="str">
        <x:v>603418</x:v>
      </x:c>
      <x:c r="C118" s="24" t="str">
        <x:v>友升股份</x:v>
      </x:c>
      <x:c r="D118" s="24" t="str">
        <x:v>CV018</x:v>
      </x:c>
      <x:c r="E118" s="24" t="str">
        <x:v>确认PE/VC间接路径标记</x:v>
      </x:c>
      <x:c r="F118" s="24" t="str">
        <x:v>投资路径复杂度</x:v>
      </x:c>
      <x:c r="G118" s="24" t="str">
        <x:v>B扩展</x:v>
      </x:c>
      <x:c r="H118" s="24" t="str">
        <x:v>BINARY</x:v>
      </x:c>
      <x:c r="I118" s="24" t="str">
        <x:v>0/1</x:v>
      </x:c>
      <x:c r="J118" s="24" t="str">
        <x:v>研究判断派生</x:v>
      </x:c>
      <x:c r="K118" s="24" t="str">
        <x:v>VALID</x:v>
      </x:c>
      <x:c r="L118" s="24" t="n">
        <x:v>0</x:v>
      </x:c>
      <x:c r="M118" s="24" t="str">
        <x:v>VALID</x:v>
      </x:c>
      <x:c r="N118" s="24" t="str">
        <x:v>OBSERVED_OR_CALCULATED</x:v>
      </x:c>
      <x:c r="O118" s="24" t="str">
        <x:v>符合Stage 3计算门槛。</x:v>
      </x:c>
      <x:c r="P118" s="24" t="n">
        <x:v>1</x:v>
      </x:c>
      <x:c r="Q118" s="24"/>
      <x:c r="R118" s="24"/>
      <x:c r="S118" s="24" t="str">
        <x:v>检查确认路径中与PEVC_CONFIRMED相关的INDIRECT边。</x:v>
      </x:c>
      <x:c r="T118" s="24" t="str">
        <x:v>PATH-603418-00006-E01; PATH-603418-00007-E01</x:v>
      </x:c>
      <x:c r="U118" s="24"/>
      <x:c r="V118" s="24" t="str">
        <x:v>FROZEN_UNCHANGED</x:v>
      </x:c>
      <x:c r="W118" s="24" t="n">
        <x:v>0</x:v>
      </x:c>
    </x:row>
    <x:row r="119" ht="52" customHeight="1">
      <x:c r="A119" s="24" t="str">
        <x:v>603418|CV019</x:v>
      </x:c>
      <x:c r="B119" s="24" t="str">
        <x:v>603418</x:v>
      </x:c>
      <x:c r="C119" s="24" t="str">
        <x:v>友升股份</x:v>
      </x:c>
      <x:c r="D119" s="24" t="str">
        <x:v>CV019</x:v>
      </x:c>
      <x:c r="E119" s="24" t="str">
        <x:v>确认PE/VC进入方式多样性</x:v>
      </x:c>
      <x:c r="F119" s="24" t="str">
        <x:v>PEVC进入方式</x:v>
      </x:c>
      <x:c r="G119" s="24" t="str">
        <x:v>B扩展</x:v>
      </x:c>
      <x:c r="H119" s="24" t="str">
        <x:v>INTEGER</x:v>
      </x:c>
      <x:c r="I119" s="24" t="str">
        <x:v>种</x:v>
      </x:c>
      <x:c r="J119" s="24" t="str">
        <x:v>研究判断派生</x:v>
      </x:c>
      <x:c r="K119" s="24" t="str">
        <x:v>VALID</x:v>
      </x:c>
      <x:c r="L119" s="24" t="n">
        <x:v>1</x:v>
      </x:c>
      <x:c r="M119" s="24" t="str">
        <x:v>VALID</x:v>
      </x:c>
      <x:c r="N119" s="24" t="str">
        <x:v>OBSERVED_OR_CALCULATED</x:v>
      </x:c>
      <x:c r="O119" s="24" t="str">
        <x:v>符合Stage 3计算门槛。</x:v>
      </x:c>
      <x:c r="P119" s="24" t="n">
        <x:v>0</x:v>
      </x:c>
      <x:c r="Q119" s="24"/>
      <x:c r="R119" s="24"/>
      <x:c r="S119" s="24" t="str">
        <x:v>确认PE/VC路径非空进入方式=['CAPITAL_INCREASE_ENTRY']。</x:v>
      </x:c>
      <x:c r="T119" s="24" t="str">
        <x:v>PATH-603418-00006-E01; PATH-603418-00007-E01</x:v>
      </x:c>
      <x:c r="U119" s="24"/>
      <x:c r="V119" s="24" t="str">
        <x:v>FROZEN_UNCHANGED</x:v>
      </x:c>
      <x:c r="W119" s="24" t="n">
        <x:v>0</x:v>
      </x:c>
    </x:row>
    <x:row r="120" ht="52" customHeight="1">
      <x:c r="A120" s="24" t="str">
        <x:v>603418|CV020</x:v>
      </x:c>
      <x:c r="B120" s="24" t="str">
        <x:v>603418</x:v>
      </x:c>
      <x:c r="C120" s="24" t="str">
        <x:v>友升股份</x:v>
      </x:c>
      <x:c r="D120" s="24" t="str">
        <x:v>CV020</x:v>
      </x:c>
      <x:c r="E120" s="24" t="str">
        <x:v>直接参与法律主体数</x:v>
      </x:c>
      <x:c r="F120" s="24" t="str">
        <x:v>参与结构规模</x:v>
      </x:c>
      <x:c r="G120" s="24" t="str">
        <x:v>A核心</x:v>
      </x:c>
      <x:c r="H120" s="24" t="str">
        <x:v>INTEGER</x:v>
      </x:c>
      <x:c r="I120" s="24" t="str">
        <x:v>个</x:v>
      </x:c>
      <x:c r="J120" s="24" t="str">
        <x:v>计算值</x:v>
      </x:c>
      <x:c r="K120" s="24" t="str">
        <x:v>VALID</x:v>
      </x:c>
      <x:c r="L120" s="24" t="n">
        <x:v>13</x:v>
      </x:c>
      <x:c r="M120" s="24" t="str">
        <x:v>VALID</x:v>
      </x:c>
      <x:c r="N120" s="24" t="str">
        <x:v>OBSERVED_OR_CALCULATED</x:v>
      </x:c>
      <x:c r="O120" s="24" t="str">
        <x:v>符合Stage 3计算门槛。</x:v>
      </x:c>
      <x:c r="P120" s="24" t="n">
        <x:v>0</x:v>
      </x:c>
      <x:c r="Q120" s="24"/>
      <x:c r="R120" s="24"/>
      <x:c r="S120" s="24" t="str">
        <x:v>读取公司层冻结直接参与法律主体数。</x:v>
      </x:c>
      <x:c r="T120" s="24" t="str">
        <x:v>companies:603418</x:v>
      </x:c>
      <x:c r="U120" s="24"/>
      <x:c r="V120" s="24" t="str">
        <x:v>FROZEN_UNCHANGED</x:v>
      </x:c>
      <x:c r="W120" s="24" t="n">
        <x:v>0</x:v>
      </x:c>
    </x:row>
    <x:row r="121" ht="52" customHeight="1">
      <x:c r="A121" s="24" t="str">
        <x:v>603418|CV021</x:v>
      </x:c>
      <x:c r="B121" s="24" t="str">
        <x:v>603418</x:v>
      </x:c>
      <x:c r="C121" s="24" t="str">
        <x:v>友升股份</x:v>
      </x:c>
      <x:c r="D121" s="24" t="str">
        <x:v>CV021</x:v>
      </x:c>
      <x:c r="E121" s="24" t="str">
        <x:v>融资投资方法律主体数</x:v>
      </x:c>
      <x:c r="F121" s="24" t="str">
        <x:v>融资参与广度</x:v>
      </x:c>
      <x:c r="G121" s="24" t="str">
        <x:v>B扩展</x:v>
      </x:c>
      <x:c r="H121" s="24" t="str">
        <x:v>INTEGER</x:v>
      </x:c>
      <x:c r="I121" s="24" t="str">
        <x:v>个</x:v>
      </x:c>
      <x:c r="J121" s="24" t="str">
        <x:v>计算值</x:v>
      </x:c>
      <x:c r="K121" s="24" t="str">
        <x:v>VALID</x:v>
      </x:c>
      <x:c r="L121" s="24" t="n">
        <x:v>2</x:v>
      </x:c>
      <x:c r="M121" s="24" t="str">
        <x:v>VALID</x:v>
      </x:c>
      <x:c r="N121" s="24" t="str">
        <x:v>OBSERVED_OR_CALCULATED</x:v>
      </x:c>
      <x:c r="O121" s="24" t="str">
        <x:v>符合Stage 3计算门槛。</x:v>
      </x:c>
      <x:c r="P121" s="24" t="n">
        <x:v>0</x:v>
      </x:c>
      <x:c r="Q121" s="24" t="str">
        <x:v>ENTITY_NAME_CROSSWALK_LIMITATION</x:v>
      </x:c>
      <x:c r="R121" s="24" t="str">
        <x:v>稳定ID足以计数，但部分PTY名称及PTY↔INV crosswalk未恢复，不能做名称级网络解释。</x:v>
      </x:c>
      <x:c r="S121" s="24" t="str">
        <x:v>融资轮相关交易中筛选INVESTOR，canonical_entity_id优先、否则entity_id去重。</x:v>
      </x:c>
      <x:c r="T121" s="24" t="str">
        <x:v>TRX-603418-0004-01-P01; TRX-603418-0004-01-P02</x:v>
      </x:c>
      <x:c r="U121" s="24"/>
      <x:c r="V121" s="24" t="str">
        <x:v>FROZEN_UNCHANGED</x:v>
      </x:c>
      <x:c r="W121" s="24" t="n">
        <x:v>1</x:v>
      </x:c>
    </x:row>
    <x:row r="122" ht="52" customHeight="1">
      <x:c r="A122" s="24" t="str">
        <x:v>603418|CV022</x:v>
      </x:c>
      <x:c r="B122" s="24" t="str">
        <x:v>603418</x:v>
      </x:c>
      <x:c r="C122" s="24" t="str">
        <x:v>友升股份</x:v>
      </x:c>
      <x:c r="D122" s="24" t="str">
        <x:v>CV022</x:v>
      </x:c>
      <x:c r="E122" s="24" t="str">
        <x:v>每轮融资投资方密度</x:v>
      </x:c>
      <x:c r="F122" s="24" t="str">
        <x:v>融资参与密度</x:v>
      </x:c>
      <x:c r="G122" s="24" t="str">
        <x:v>B扩展</x:v>
      </x:c>
      <x:c r="H122" s="24" t="str">
        <x:v>RATIO</x:v>
      </x:c>
      <x:c r="I122" s="24" t="str">
        <x:v>个/轮</x:v>
      </x:c>
      <x:c r="J122" s="24" t="str">
        <x:v>计算值</x:v>
      </x:c>
      <x:c r="K122" s="24" t="str">
        <x:v>VALID</x:v>
      </x:c>
      <x:c r="L122" s="24" t="n">
        <x:v>1</x:v>
      </x:c>
      <x:c r="M122" s="24" t="str">
        <x:v>VALID</x:v>
      </x:c>
      <x:c r="N122" s="24" t="str">
        <x:v>OBSERVED_OR_CALCULATED</x:v>
      </x:c>
      <x:c r="O122" s="24" t="str">
        <x:v>符合Stage 3计算门槛。</x:v>
      </x:c>
      <x:c r="P122" s="24" t="n">
        <x:v>0</x:v>
      </x:c>
      <x:c r="Q122" s="24" t="str">
        <x:v>ENTITY_NAME_CROSSWALK_LIMITATION</x:v>
      </x:c>
      <x:c r="R122" s="24" t="str">
        <x:v>稳定ID足以计数，但部分PTY名称及PTY↔INV crosswalk未恢复，不能做名称级网络解释。</x:v>
      </x:c>
      <x:c r="S122" s="24" t="str">
        <x:v>融资投资方法律主体数/融资轮数。</x:v>
      </x:c>
      <x:c r="T122" s="24" t="str">
        <x:v>TRX-603418-0004-01-P01; TRX-603418-0004-01-P02</x:v>
      </x:c>
      <x:c r="U122" s="24"/>
      <x:c r="V122" s="24" t="str">
        <x:v>FROZEN_UNCHANGED</x:v>
      </x:c>
      <x:c r="W122" s="24" t="n">
        <x:v>1</x:v>
      </x:c>
    </x:row>
    <x:row r="123" ht="52" customHeight="1">
      <x:c r="A123" s="24" t="str">
        <x:v>603418|CV023</x:v>
      </x:c>
      <x:c r="B123" s="24" t="str">
        <x:v>603418</x:v>
      </x:c>
      <x:c r="C123" s="24" t="str">
        <x:v>友升股份</x:v>
      </x:c>
      <x:c r="D123" s="24" t="str">
        <x:v>CV023</x:v>
      </x:c>
      <x:c r="E123" s="24" t="str">
        <x:v>融资方式多样性</x:v>
      </x:c>
      <x:c r="F123" s="24" t="str">
        <x:v>融资机制</x:v>
      </x:c>
      <x:c r="G123" s="24" t="str">
        <x:v>B扩展</x:v>
      </x:c>
      <x:c r="H123" s="24" t="str">
        <x:v>INTEGER</x:v>
      </x:c>
      <x:c r="I123" s="24" t="str">
        <x:v>种</x:v>
      </x:c>
      <x:c r="J123" s="24" t="str">
        <x:v>计算值</x:v>
      </x:c>
      <x:c r="K123" s="24" t="str">
        <x:v>VALID</x:v>
      </x:c>
      <x:c r="L123" s="24" t="n">
        <x:v>1</x:v>
      </x:c>
      <x:c r="M123" s="24" t="str">
        <x:v>VALID</x:v>
      </x:c>
      <x:c r="N123" s="24" t="str">
        <x:v>OBSERVED_OR_CALCULATED</x:v>
      </x:c>
      <x:c r="O123" s="24" t="str">
        <x:v>符合Stage 3计算门槛。</x:v>
      </x:c>
      <x:c r="P123" s="24" t="n">
        <x:v>0</x:v>
      </x:c>
      <x:c r="Q123" s="24"/>
      <x:c r="R123" s="24"/>
      <x:c r="S123" s="24" t="str">
        <x:v>融资交易组成标准化方式=['CAPITAL_INCREASE']。</x:v>
      </x:c>
      <x:c r="T123" s="24" t="str">
        <x:v>TRX-603418-0003-01; TRX-603418-0004-01</x:v>
      </x:c>
      <x:c r="U123" s="24"/>
      <x:c r="V123" s="24" t="str">
        <x:v>FROZEN_UNCHANGED</x:v>
      </x:c>
      <x:c r="W123" s="24" t="n">
        <x:v>0</x:v>
      </x:c>
    </x:row>
    <x:row r="124" ht="52" customHeight="1">
      <x:c r="A124" s="24" t="str">
        <x:v>603418|CV024</x:v>
      </x:c>
      <x:c r="B124" s="24" t="str">
        <x:v>603418</x:v>
      </x:c>
      <x:c r="C124" s="24" t="str">
        <x:v>友升股份</x:v>
      </x:c>
      <x:c r="D124" s="24" t="str">
        <x:v>CV024</x:v>
      </x:c>
      <x:c r="E124" s="24" t="str">
        <x:v>股权转让交易数</x:v>
      </x:c>
      <x:c r="F124" s="24" t="str">
        <x:v>二级股权流动</x:v>
      </x:c>
      <x:c r="G124" s="24" t="str">
        <x:v>A核心</x:v>
      </x:c>
      <x:c r="H124" s="24" t="str">
        <x:v>INTEGER</x:v>
      </x:c>
      <x:c r="I124" s="24" t="str">
        <x:v>笔</x:v>
      </x:c>
      <x:c r="J124" s="24" t="str">
        <x:v>计算值</x:v>
      </x:c>
      <x:c r="K124" s="24" t="str">
        <x:v>VALID</x:v>
      </x:c>
      <x:c r="L124" s="24" t="n">
        <x:v>0</x:v>
      </x:c>
      <x:c r="M124" s="24" t="str">
        <x:v>VALID</x:v>
      </x:c>
      <x:c r="N124" s="24" t="str">
        <x:v>OBSERVED_OR_CALCULATED</x:v>
      </x:c>
      <x:c r="O124" s="24" t="str">
        <x:v>符合Stage 3计算门槛。</x:v>
      </x:c>
      <x:c r="P124" s="24" t="n">
        <x:v>1</x:v>
      </x:c>
      <x:c r="Q124" s="24"/>
      <x:c r="R124" s="24"/>
      <x:c r="S124" s="24" t="str">
        <x:v>按EQUITY_TRANSFER交易记录计数。</x:v>
      </x:c>
      <x:c r="T124" s="24"/>
      <x:c r="U124" s="24"/>
      <x:c r="V124" s="24" t="str">
        <x:v>FROZEN_UNCHANGED</x:v>
      </x:c>
      <x:c r="W124" s="24" t="n">
        <x:v>0</x:v>
      </x:c>
    </x:row>
    <x:row r="125" ht="52" customHeight="1">
      <x:c r="A125" s="24" t="str">
        <x:v>603418|CV025</x:v>
      </x:c>
      <x:c r="B125" s="24" t="str">
        <x:v>603418</x:v>
      </x:c>
      <x:c r="C125" s="24" t="str">
        <x:v>友升股份</x:v>
      </x:c>
      <x:c r="D125" s="24" t="str">
        <x:v>CV025</x:v>
      </x:c>
      <x:c r="E125" s="24" t="str">
        <x:v>可核验股权转让对价下限</x:v>
      </x:c>
      <x:c r="F125" s="24" t="str">
        <x:v>二级股权流动</x:v>
      </x:c>
      <x:c r="G125" s="24" t="str">
        <x:v>A核心</x:v>
      </x:c>
      <x:c r="H125" s="24" t="str">
        <x:v>CONTINUOUS</x:v>
      </x:c>
      <x:c r="I125" s="24" t="str">
        <x:v>万元人民币</x:v>
      </x:c>
      <x:c r="J125" s="24" t="str">
        <x:v>标准化值+计算值</x:v>
      </x:c>
      <x:c r="K125" s="24" t="str">
        <x:v>STRUCTURAL_NA</x:v>
      </x:c>
      <x:c r="L125" s="24"/>
      <x:c r="M125" s="24" t="str">
        <x:v>STRUCTURAL_NA</x:v>
      </x:c>
      <x:c r="N125" s="24" t="str">
        <x:v>STRUCTURAL_NA_TRANSFER_NOT_APPLICABLE</x:v>
      </x:c>
      <x:c r="O125" s="24" t="str">
        <x:v>公司层转让金额状态为NOT_APPLICABLE。</x:v>
      </x:c>
      <x:c r="P125" s="24" t="n">
        <x:v>0</x:v>
      </x:c>
      <x:c r="Q125" s="24"/>
      <x:c r="R125" s="24"/>
      <x:c r="S125" s="24" t="str">
        <x:v>不将不适用金额补0。</x:v>
      </x:c>
      <x:c r="T125" s="24" t="str">
        <x:v>companies:603418</x:v>
      </x:c>
      <x:c r="U125" s="24"/>
      <x:c r="V125" s="24" t="str">
        <x:v>FROZEN_UNCHANGED</x:v>
      </x:c>
      <x:c r="W125" s="24" t="n">
        <x:v>0</x:v>
      </x:c>
    </x:row>
    <x:row r="126" ht="52" customHeight="1">
      <x:c r="A126" s="24" t="str">
        <x:v>603418|CV026</x:v>
      </x:c>
      <x:c r="B126" s="24" t="str">
        <x:v>603418</x:v>
      </x:c>
      <x:c r="C126" s="24" t="str">
        <x:v>友升股份</x:v>
      </x:c>
      <x:c r="D126" s="24" t="str">
        <x:v>CV026</x:v>
      </x:c>
      <x:c r="E126" s="24" t="str">
        <x:v>转让对价与融资金额比</x:v>
      </x:c>
      <x:c r="F126" s="24" t="str">
        <x:v>二级股权流动</x:v>
      </x:c>
      <x:c r="G126" s="24" t="str">
        <x:v>B扩展</x:v>
      </x:c>
      <x:c r="H126" s="24" t="str">
        <x:v>RATIO</x:v>
      </x:c>
      <x:c r="I126" s="24" t="str">
        <x:v>0–∞</x:v>
      </x:c>
      <x:c r="J126" s="24" t="str">
        <x:v>计算值</x:v>
      </x:c>
      <x:c r="K126" s="24" t="str">
        <x:v>STRUCTURAL_NA</x:v>
      </x:c>
      <x:c r="L126" s="24"/>
      <x:c r="M126" s="24" t="str">
        <x:v>STRUCTURAL_NA</x:v>
      </x:c>
      <x:c r="N126" s="24" t="str">
        <x:v>STRUCTURAL_NA_TRANSFER_NOT_APPLICABLE</x:v>
      </x:c>
      <x:c r="O126" s="24" t="str">
        <x:v>转让金额不适用，因此转让/融资比率不适用。</x:v>
      </x:c>
      <x:c r="P126" s="24" t="n">
        <x:v>0</x:v>
      </x:c>
      <x:c r="Q126" s="24"/>
      <x:c r="R126" s="24"/>
      <x:c r="S126" s="24" t="str">
        <x:v>不将不适用比率补0。</x:v>
      </x:c>
      <x:c r="T126" s="24" t="str">
        <x:v>companies:603418</x:v>
      </x:c>
      <x:c r="U126" s="24"/>
      <x:c r="V126" s="24" t="str">
        <x:v>FROZEN_UNCHANGED</x:v>
      </x:c>
      <x:c r="W126" s="24" t="n">
        <x:v>0</x:v>
      </x:c>
    </x:row>
    <x:row r="127" ht="52" customHeight="1">
      <x:c r="A127" s="24" t="str">
        <x:v>603418|CV027</x:v>
      </x:c>
      <x:c r="B127" s="24" t="str">
        <x:v>603418</x:v>
      </x:c>
      <x:c r="C127" s="24" t="str">
        <x:v>友升股份</x:v>
      </x:c>
      <x:c r="D127" s="24" t="str">
        <x:v>CV027</x:v>
      </x:c>
      <x:c r="E127" s="24" t="str">
        <x:v>金额已知融资轮数</x:v>
      </x:c>
      <x:c r="F127" s="24" t="str">
        <x:v>数据可用性</x:v>
      </x:c>
      <x:c r="G127" s="24" t="str">
        <x:v>Q质量</x:v>
      </x:c>
      <x:c r="H127" s="24" t="str">
        <x:v>INTEGER</x:v>
      </x:c>
      <x:c r="I127" s="24" t="str">
        <x:v>轮</x:v>
      </x:c>
      <x:c r="J127" s="24" t="str">
        <x:v>计算值</x:v>
      </x:c>
      <x:c r="K127" s="24" t="str">
        <x:v>VALID</x:v>
      </x:c>
      <x:c r="L127" s="24" t="n">
        <x:v>2</x:v>
      </x:c>
      <x:c r="M127" s="24" t="str">
        <x:v>VALID</x:v>
      </x:c>
      <x:c r="N127" s="24" t="str">
        <x:v>OBSERVED_OR_CALCULATED</x:v>
      </x:c>
      <x:c r="O127" s="24" t="str">
        <x:v>符合Stage 3计算门槛。</x:v>
      </x:c>
      <x:c r="P127" s="24" t="n">
        <x:v>0</x:v>
      </x:c>
      <x:c r="Q127" s="24"/>
      <x:c r="R127" s="24"/>
      <x:c r="S127" s="24" t="str">
        <x:v>融资轮中金额非null记录数。</x:v>
      </x:c>
      <x:c r="T127" s="24" t="str">
        <x:v>EVT-603418-0003; EVT-603418-0004</x:v>
      </x:c>
      <x:c r="U127" s="24"/>
      <x:c r="V127" s="24" t="str">
        <x:v>FROZEN_UNCHANGED</x:v>
      </x:c>
      <x:c r="W127" s="24" t="n">
        <x:v>0</x:v>
      </x:c>
    </x:row>
    <x:row r="128" ht="52" customHeight="1">
      <x:c r="A128" s="24" t="str">
        <x:v>603418|CV028</x:v>
      </x:c>
      <x:c r="B128" s="24" t="str">
        <x:v>603418</x:v>
      </x:c>
      <x:c r="C128" s="24" t="str">
        <x:v>友升股份</x:v>
      </x:c>
      <x:c r="D128" s="24" t="str">
        <x:v>CV028</x:v>
      </x:c>
      <x:c r="E128" s="24" t="str">
        <x:v>融资轮金额覆盖率</x:v>
      </x:c>
      <x:c r="F128" s="24" t="str">
        <x:v>数据可用性</x:v>
      </x:c>
      <x:c r="G128" s="24" t="str">
        <x:v>Q质量</x:v>
      </x:c>
      <x:c r="H128" s="24" t="str">
        <x:v>RATIO</x:v>
      </x:c>
      <x:c r="I128" s="24" t="str">
        <x:v>0–1</x:v>
      </x:c>
      <x:c r="J128" s="24" t="str">
        <x:v>计算值</x:v>
      </x:c>
      <x:c r="K128" s="24" t="str">
        <x:v>VALID</x:v>
      </x:c>
      <x:c r="L128" s="24" t="n">
        <x:v>1</x:v>
      </x:c>
      <x:c r="M128" s="24" t="str">
        <x:v>VALID</x:v>
      </x:c>
      <x:c r="N128" s="24" t="str">
        <x:v>OBSERVED_OR_CALCULATED</x:v>
      </x:c>
      <x:c r="O128" s="24" t="str">
        <x:v>符合Stage 3计算门槛。</x:v>
      </x:c>
      <x:c r="P128" s="24" t="n">
        <x:v>0</x:v>
      </x:c>
      <x:c r="Q128" s="24"/>
      <x:c r="R128" s="24"/>
      <x:c r="S128" s="24" t="str">
        <x:v>金额非null融资轮数/融资轮总数。</x:v>
      </x:c>
      <x:c r="T128" s="24" t="str">
        <x:v>EVT-603418-0003; EVT-603418-0004</x:v>
      </x:c>
      <x:c r="U128" s="24"/>
      <x:c r="V128" s="24" t="str">
        <x:v>FROZEN_UNCHANGED</x:v>
      </x:c>
      <x:c r="W128" s="24" t="n">
        <x:v>0</x:v>
      </x:c>
    </x:row>
    <x:row r="129" ht="52" customHeight="1">
      <x:c r="A129" s="24" t="str">
        <x:v>603418|CV029</x:v>
      </x:c>
      <x:c r="B129" s="24" t="str">
        <x:v>603418</x:v>
      </x:c>
      <x:c r="C129" s="24" t="str">
        <x:v>友升股份</x:v>
      </x:c>
      <x:c r="D129" s="24" t="str">
        <x:v>CV029</x:v>
      </x:c>
      <x:c r="E129" s="24" t="str">
        <x:v>融资轮日期覆盖率</x:v>
      </x:c>
      <x:c r="F129" s="24" t="str">
        <x:v>数据可用性</x:v>
      </x:c>
      <x:c r="G129" s="24" t="str">
        <x:v>Q质量</x:v>
      </x:c>
      <x:c r="H129" s="24" t="str">
        <x:v>RATIO</x:v>
      </x:c>
      <x:c r="I129" s="24" t="str">
        <x:v>0–1</x:v>
      </x:c>
      <x:c r="J129" s="24" t="str">
        <x:v>计算值</x:v>
      </x:c>
      <x:c r="K129" s="24" t="str">
        <x:v>VALID</x:v>
      </x:c>
      <x:c r="L129" s="24" t="n">
        <x:v>1</x:v>
      </x:c>
      <x:c r="M129" s="24" t="str">
        <x:v>VALID</x:v>
      </x:c>
      <x:c r="N129" s="24" t="str">
        <x:v>OBSERVED_OR_CALCULATED</x:v>
      </x:c>
      <x:c r="O129" s="24" t="str">
        <x:v>符合Stage 3计算门槛。</x:v>
      </x:c>
      <x:c r="P129" s="24" t="n">
        <x:v>0</x:v>
      </x:c>
      <x:c r="Q129" s="24"/>
      <x:c r="R129" s="24"/>
      <x:c r="S129" s="24" t="str">
        <x:v>DAY或MONTH精度融资轮数/融资轮总数。</x:v>
      </x:c>
      <x:c r="T129" s="24" t="str">
        <x:v>EVT-603418-0003; EVT-603418-0004</x:v>
      </x:c>
      <x:c r="U129" s="24"/>
      <x:c r="V129" s="24" t="str">
        <x:v>FROZEN_UNCHANGED</x:v>
      </x:c>
      <x:c r="W129" s="24" t="n">
        <x:v>0</x:v>
      </x:c>
    </x:row>
    <x:row r="130" ht="52" customHeight="1">
      <x:c r="A130" s="24" t="str">
        <x:v>603418|CV030</x:v>
      </x:c>
      <x:c r="B130" s="24" t="str">
        <x:v>603418</x:v>
      </x:c>
      <x:c r="C130" s="24" t="str">
        <x:v>友升股份</x:v>
      </x:c>
      <x:c r="D130" s="24" t="str">
        <x:v>CV030</x:v>
      </x:c>
      <x:c r="E130" s="24" t="str">
        <x:v>计算型轮次金额占比</x:v>
      </x:c>
      <x:c r="F130" s="24" t="str">
        <x:v>数值来源结构</x:v>
      </x:c>
      <x:c r="G130" s="24" t="str">
        <x:v>Q质量</x:v>
      </x:c>
      <x:c r="H130" s="24" t="str">
        <x:v>RATIO</x:v>
      </x:c>
      <x:c r="I130" s="24" t="str">
        <x:v>0–1</x:v>
      </x:c>
      <x:c r="J130" s="24" t="str">
        <x:v>计算值</x:v>
      </x:c>
      <x:c r="K130" s="24" t="str">
        <x:v>VALID</x:v>
      </x:c>
      <x:c r="L130" s="24" t="n">
        <x:v>0.5</x:v>
      </x:c>
      <x:c r="M130" s="24" t="str">
        <x:v>VALID</x:v>
      </x:c>
      <x:c r="N130" s="24" t="str">
        <x:v>OBSERVED_OR_CALCULATED</x:v>
      </x:c>
      <x:c r="O130" s="24" t="str">
        <x:v>符合Stage 3计算门槛。</x:v>
      </x:c>
      <x:c r="P130" s="24" t="n">
        <x:v>0</x:v>
      </x:c>
      <x:c r="Q130" s="24"/>
      <x:c r="R130" s="24"/>
      <x:c r="S130" s="24" t="str">
        <x:v>CALCULATED已知金额轮数/已知金额轮数。</x:v>
      </x:c>
      <x:c r="T130" s="24" t="str">
        <x:v>EVT-603418-0003; EVT-603418-0004</x:v>
      </x:c>
      <x:c r="U130" s="24"/>
      <x:c r="V130" s="24" t="str">
        <x:v>FROZEN_UNCHANGED</x:v>
      </x:c>
      <x:c r="W130" s="24" t="n">
        <x:v>0</x:v>
      </x:c>
    </x:row>
    <x:row r="131" ht="52" customHeight="1">
      <x:c r="A131" s="24" t="str">
        <x:v>603418|CV031</x:v>
      </x:c>
      <x:c r="B131" s="24" t="str">
        <x:v>603418</x:v>
      </x:c>
      <x:c r="C131" s="24" t="str">
        <x:v>友升股份</x:v>
      </x:c>
      <x:c r="D131" s="24" t="str">
        <x:v>CV031</x:v>
      </x:c>
      <x:c r="E131" s="24" t="str">
        <x:v>每轮融资证据记录数</x:v>
      </x:c>
      <x:c r="F131" s="24" t="str">
        <x:v>证据密度</x:v>
      </x:c>
      <x:c r="G131" s="24" t="str">
        <x:v>Q质量</x:v>
      </x:c>
      <x:c r="H131" s="24" t="str">
        <x:v>RATIO</x:v>
      </x:c>
      <x:c r="I131" s="24" t="str">
        <x:v>条/轮</x:v>
      </x:c>
      <x:c r="J131" s="24" t="str">
        <x:v>计算值</x:v>
      </x:c>
      <x:c r="K131" s="24" t="str">
        <x:v>VALID</x:v>
      </x:c>
      <x:c r="L131" s="24" t="n">
        <x:v>1.5</x:v>
      </x:c>
      <x:c r="M131" s="24" t="str">
        <x:v>VALID</x:v>
      </x:c>
      <x:c r="N131" s="24" t="str">
        <x:v>OBSERVED_OR_CALCULATED</x:v>
      </x:c>
      <x:c r="O131" s="24" t="str">
        <x:v>符合Stage 3计算门槛。</x:v>
      </x:c>
      <x:c r="P131" s="24" t="n">
        <x:v>0</x:v>
      </x:c>
      <x:c r="Q131" s="24"/>
      <x:c r="R131" s="24"/>
      <x:c r="S131" s="24" t="str">
        <x:v>关联融资轮的去重evidence_id数/融资轮数。</x:v>
      </x:c>
      <x:c r="T131" s="24" t="str">
        <x:v>EVD-603418-0004-01; EVD-603418-0004-02; EVD-603418-0005-01</x:v>
      </x:c>
      <x:c r="U131" s="24"/>
      <x:c r="V131" s="24" t="str">
        <x:v>FROZEN_UNCHANGED</x:v>
      </x:c>
      <x:c r="W131" s="24" t="n">
        <x:v>0</x:v>
      </x:c>
    </x:row>
    <x:row r="132" ht="52" customHeight="1">
      <x:c r="A132" s="24" t="str">
        <x:v>603418|CV032</x:v>
      </x:c>
      <x:c r="B132" s="24" t="str">
        <x:v>603418</x:v>
      </x:c>
      <x:c r="C132" s="24" t="str">
        <x:v>友升股份</x:v>
      </x:c>
      <x:c r="D132" s="24" t="str">
        <x:v>CV032</x:v>
      </x:c>
      <x:c r="E132" s="24" t="str">
        <x:v>公司级披露限制标记</x:v>
      </x:c>
      <x:c r="F132" s="24" t="str">
        <x:v>披露边界</x:v>
      </x:c>
      <x:c r="G132" s="24" t="str">
        <x:v>Q质量</x:v>
      </x:c>
      <x:c r="H132" s="24" t="str">
        <x:v>BINARY</x:v>
      </x:c>
      <x:c r="I132" s="24" t="str">
        <x:v>0/1</x:v>
      </x:c>
      <x:c r="J132" s="24" t="str">
        <x:v>研究判断派生</x:v>
      </x:c>
      <x:c r="K132" s="24" t="str">
        <x:v>VALID</x:v>
      </x:c>
      <x:c r="L132" s="24" t="n">
        <x:v>0</x:v>
      </x:c>
      <x:c r="M132" s="24" t="str">
        <x:v>VALID</x:v>
      </x:c>
      <x:c r="N132" s="24" t="str">
        <x:v>OBSERVED_OR_CALCULATED</x:v>
      </x:c>
      <x:c r="O132" s="24" t="str">
        <x:v>符合Stage 3计算门槛。</x:v>
      </x:c>
      <x:c r="P132" s="24" t="n">
        <x:v>1</x:v>
      </x:c>
      <x:c r="Q132" s="24"/>
      <x:c r="R132" s="24"/>
      <x:c r="S132" s="24" t="str">
        <x:v>FINAL_APPROVED公司记录中检查disclosure_limitation是否非空。</x:v>
      </x:c>
      <x:c r="T132" s="24" t="str">
        <x:v>companies:603418</x:v>
      </x:c>
      <x:c r="U132" s="24"/>
      <x:c r="V132" s="24" t="str">
        <x:v>FROZEN_UNCHANGED</x:v>
      </x:c>
      <x:c r="W132" s="24" t="n">
        <x:v>0</x:v>
      </x:c>
    </x:row>
    <x:row r="133" ht="52" customHeight="1">
      <x:c r="A133" s="24" t="str">
        <x:v>688758|CV001</x:v>
      </x:c>
      <x:c r="B133" s="24" t="str">
        <x:v>688758</x:v>
      </x:c>
      <x:c r="C133" s="24" t="str">
        <x:v>赛分科技</x:v>
      </x:c>
      <x:c r="D133" s="24" t="str">
        <x:v>CV001</x:v>
      </x:c>
      <x:c r="E133" s="24" t="str">
        <x:v>上市前直接股权融资发生标记</x:v>
      </x:c>
      <x:c r="F133" s="24" t="str">
        <x:v>融资经历</x:v>
      </x:c>
      <x:c r="G133" s="24" t="str">
        <x:v>A核心</x:v>
      </x:c>
      <x:c r="H133" s="24" t="str">
        <x:v>BINARY</x:v>
      </x:c>
      <x:c r="I133" s="24" t="str">
        <x:v>0/1</x:v>
      </x:c>
      <x:c r="J133" s="24" t="str">
        <x:v>研究判断派生</x:v>
      </x:c>
      <x:c r="K133" s="24" t="str">
        <x:v>VALID</x:v>
      </x:c>
      <x:c r="L133" s="24" t="n">
        <x:v>1</x:v>
      </x:c>
      <x:c r="M133" s="24" t="str">
        <x:v>VALID</x:v>
      </x:c>
      <x:c r="N133" s="24" t="str">
        <x:v>OBSERVED_OR_CALCULATED</x:v>
      </x:c>
      <x:c r="O133" s="24" t="str">
        <x:v>符合Stage 3计算门槛。</x:v>
      </x:c>
      <x:c r="P133" s="24" t="n">
        <x:v>0</x:v>
      </x:c>
      <x:c r="Q133" s="24"/>
      <x:c r="R133" s="24"/>
      <x:c r="S133" s="24" t="str">
        <x:v>financing_round_count=3，据此生成二元标记。</x:v>
      </x:c>
      <x:c r="T133" s="24" t="str">
        <x:v>companies:688758</x:v>
      </x:c>
      <x:c r="U133" s="24"/>
      <x:c r="V133" s="24" t="str">
        <x:v>FROZEN_UNCHANGED</x:v>
      </x:c>
      <x:c r="W133" s="24" t="n">
        <x:v>0</x:v>
      </x:c>
    </x:row>
    <x:row r="134" ht="52" customHeight="1">
      <x:c r="A134" s="24" t="str">
        <x:v>688758|CV002</x:v>
      </x:c>
      <x:c r="B134" s="24" t="str">
        <x:v>688758</x:v>
      </x:c>
      <x:c r="C134" s="24" t="str">
        <x:v>赛分科技</x:v>
      </x:c>
      <x:c r="D134" s="24" t="str">
        <x:v>CV002</x:v>
      </x:c>
      <x:c r="E134" s="24" t="str">
        <x:v>上市前直接股权融资轮数</x:v>
      </x:c>
      <x:c r="F134" s="24" t="str">
        <x:v>融资频度</x:v>
      </x:c>
      <x:c r="G134" s="24" t="str">
        <x:v>A核心</x:v>
      </x:c>
      <x:c r="H134" s="24" t="str">
        <x:v>INTEGER</x:v>
      </x:c>
      <x:c r="I134" s="24" t="str">
        <x:v>轮</x:v>
      </x:c>
      <x:c r="J134" s="24" t="str">
        <x:v>研究判断</x:v>
      </x:c>
      <x:c r="K134" s="24" t="str">
        <x:v>VALID</x:v>
      </x:c>
      <x:c r="L134" s="24" t="n">
        <x:v>3</x:v>
      </x:c>
      <x:c r="M134" s="24" t="str">
        <x:v>VALID</x:v>
      </x:c>
      <x:c r="N134" s="24" t="str">
        <x:v>OBSERVED_OR_CALCULATED</x:v>
      </x:c>
      <x:c r="O134" s="24" t="str">
        <x:v>符合Stage 3计算门槛。</x:v>
      </x:c>
      <x:c r="P134" s="24" t="n">
        <x:v>0</x:v>
      </x:c>
      <x:c r="Q134" s="24"/>
      <x:c r="R134" s="24"/>
      <x:c r="S134" s="24" t="str">
        <x:v>公司冻结轮次=3；事件层TRUE计数=3。</x:v>
      </x:c>
      <x:c r="T134" s="24" t="str">
        <x:v>companies:688758; EVT-688758-0003; EVT-688758-0005; EVT-688758-0006</x:v>
      </x:c>
      <x:c r="U134" s="24"/>
      <x:c r="V134" s="24" t="str">
        <x:v>FROZEN_UNCHANGED</x:v>
      </x:c>
      <x:c r="W134" s="24" t="n">
        <x:v>0</x:v>
      </x:c>
    </x:row>
    <x:row r="135" ht="52" customHeight="1">
      <x:c r="A135" s="24" t="str">
        <x:v>688758|CV003</x:v>
      </x:c>
      <x:c r="B135" s="24" t="str">
        <x:v>688758</x:v>
      </x:c>
      <x:c r="C135" s="24" t="str">
        <x:v>赛分科技</x:v>
      </x:c>
      <x:c r="D135" s="24" t="str">
        <x:v>CV003</x:v>
      </x:c>
      <x:c r="E135" s="24" t="str">
        <x:v>可核验融资金额下限</x:v>
      </x:c>
      <x:c r="F135" s="24" t="str">
        <x:v>融资规模</x:v>
      </x:c>
      <x:c r="G135" s="24" t="str">
        <x:v>A核心</x:v>
      </x:c>
      <x:c r="H135" s="24" t="str">
        <x:v>CONTINUOUS</x:v>
      </x:c>
      <x:c r="I135" s="24" t="str">
        <x:v>万元人民币</x:v>
      </x:c>
      <x:c r="J135" s="24" t="str">
        <x:v>标准化值+计算值</x:v>
      </x:c>
      <x:c r="K135" s="24" t="str">
        <x:v>VALID</x:v>
      </x:c>
      <x:c r="L135" s="24" t="n">
        <x:v>74000</x:v>
      </x:c>
      <x:c r="M135" s="24" t="str">
        <x:v>VALID</x:v>
      </x:c>
      <x:c r="N135" s="24" t="str">
        <x:v>OBSERVED_OR_CALCULATED</x:v>
      </x:c>
      <x:c r="O135" s="24" t="str">
        <x:v>符合Stage 3计算门槛。</x:v>
      </x:c>
      <x:c r="P135" s="24" t="n">
        <x:v>0</x:v>
      </x:c>
      <x:c r="Q135" s="24"/>
      <x:c r="R135" s="24"/>
      <x:c r="S135" s="24" t="str">
        <x:v>读取公司层冻结金额；状态=DISCLOSED_COMPLETE。</x:v>
      </x:c>
      <x:c r="T135" s="24" t="str">
        <x:v>companies:688758</x:v>
      </x:c>
      <x:c r="U135" s="24"/>
      <x:c r="V135" s="24" t="str">
        <x:v>FROZEN_UNCHANGED</x:v>
      </x:c>
      <x:c r="W135" s="24" t="n">
        <x:v>0</x:v>
      </x:c>
    </x:row>
    <x:row r="136" ht="52" customHeight="1">
      <x:c r="A136" s="24" t="str">
        <x:v>688758|CV004</x:v>
      </x:c>
      <x:c r="B136" s="24" t="str">
        <x:v>688758</x:v>
      </x:c>
      <x:c r="C136" s="24" t="str">
        <x:v>赛分科技</x:v>
      </x:c>
      <x:c r="D136" s="24" t="str">
        <x:v>CV004</x:v>
      </x:c>
      <x:c r="E136" s="24" t="str">
        <x:v>融资金额下限对数</x:v>
      </x:c>
      <x:c r="F136" s="24" t="str">
        <x:v>融资规模</x:v>
      </x:c>
      <x:c r="G136" s="24" t="str">
        <x:v>B扩展</x:v>
      </x:c>
      <x:c r="H136" s="24" t="str">
        <x:v>CONTINUOUS</x:v>
      </x:c>
      <x:c r="I136" s="24" t="str">
        <x:v>ln(1+万元)</x:v>
      </x:c>
      <x:c r="J136" s="24" t="str">
        <x:v>计算值</x:v>
      </x:c>
      <x:c r="K136" s="24" t="str">
        <x:v>VALID</x:v>
      </x:c>
      <x:c r="L136" s="24" t="n">
        <x:v>11.211833885608513</x:v>
      </x:c>
      <x:c r="M136" s="24" t="str">
        <x:v>VALID</x:v>
      </x:c>
      <x:c r="N136" s="24" t="str">
        <x:v>OBSERVED_OR_CALCULATED</x:v>
      </x:c>
      <x:c r="O136" s="24" t="str">
        <x:v>符合Stage 3计算门槛。</x:v>
      </x:c>
      <x:c r="P136" s="24" t="n">
        <x:v>0</x:v>
      </x:c>
      <x:c r="Q136" s="24"/>
      <x:c r="R136" s="24"/>
      <x:c r="S136" s="24" t="str">
        <x:v>LN(1+公司层融资金额下限)。</x:v>
      </x:c>
      <x:c r="T136" s="24" t="str">
        <x:v>companies:688758</x:v>
      </x:c>
      <x:c r="U136" s="24"/>
      <x:c r="V136" s="24" t="str">
        <x:v>FROZEN_UNCHANGED</x:v>
      </x:c>
      <x:c r="W136" s="24" t="n">
        <x:v>0</x:v>
      </x:c>
    </x:row>
    <x:row r="137" ht="52" customHeight="1">
      <x:c r="A137" s="24" t="str">
        <x:v>688758|CV005</x:v>
      </x:c>
      <x:c r="B137" s="24" t="str">
        <x:v>688758</x:v>
      </x:c>
      <x:c r="C137" s="24" t="str">
        <x:v>赛分科技</x:v>
      </x:c>
      <x:c r="D137" s="24" t="str">
        <x:v>CV005</x:v>
      </x:c>
      <x:c r="E137" s="24" t="str">
        <x:v>已知金额轮次均值</x:v>
      </x:c>
      <x:c r="F137" s="24" t="str">
        <x:v>单轮融资规模</x:v>
      </x:c>
      <x:c r="G137" s="24" t="str">
        <x:v>A核心</x:v>
      </x:c>
      <x:c r="H137" s="24" t="str">
        <x:v>CONTINUOUS</x:v>
      </x:c>
      <x:c r="I137" s="24" t="str">
        <x:v>万元人民币/已知轮</x:v>
      </x:c>
      <x:c r="J137" s="24" t="str">
        <x:v>计算值</x:v>
      </x:c>
      <x:c r="K137" s="24" t="str">
        <x:v>VALID</x:v>
      </x:c>
      <x:c r="L137" s="24" t="n">
        <x:v>24666.666666666668</x:v>
      </x:c>
      <x:c r="M137" s="24" t="str">
        <x:v>VALID</x:v>
      </x:c>
      <x:c r="N137" s="24" t="str">
        <x:v>OBSERVED_OR_CALCULATED</x:v>
      </x:c>
      <x:c r="O137" s="24" t="str">
        <x:v>符合Stage 3计算门槛。</x:v>
      </x:c>
      <x:c r="P137" s="24" t="n">
        <x:v>0</x:v>
      </x:c>
      <x:c r="Q137" s="24"/>
      <x:c r="R137" s="24"/>
      <x:c r="S137" s="24" t="str">
        <x:v>基于3个非null融资轮金额计算已知轮次金额均值。</x:v>
      </x:c>
      <x:c r="T137" s="24" t="str">
        <x:v>EVT-688758-0003; EVT-688758-0005; EVT-688758-0006</x:v>
      </x:c>
      <x:c r="U137" s="24"/>
      <x:c r="V137" s="24" t="str">
        <x:v>FROZEN_UNCHANGED</x:v>
      </x:c>
      <x:c r="W137" s="24" t="n">
        <x:v>0</x:v>
      </x:c>
    </x:row>
    <x:row r="138" ht="52" customHeight="1">
      <x:c r="A138" s="24" t="str">
        <x:v>688758|CV006</x:v>
      </x:c>
      <x:c r="B138" s="24" t="str">
        <x:v>688758</x:v>
      </x:c>
      <x:c r="C138" s="24" t="str">
        <x:v>赛分科技</x:v>
      </x:c>
      <x:c r="D138" s="24" t="str">
        <x:v>CV006</x:v>
      </x:c>
      <x:c r="E138" s="24" t="str">
        <x:v>已知金额轮次中位数</x:v>
      </x:c>
      <x:c r="F138" s="24" t="str">
        <x:v>单轮融资规模</x:v>
      </x:c>
      <x:c r="G138" s="24" t="str">
        <x:v>B扩展</x:v>
      </x:c>
      <x:c r="H138" s="24" t="str">
        <x:v>CONTINUOUS</x:v>
      </x:c>
      <x:c r="I138" s="24" t="str">
        <x:v>万元人民币/已知轮</x:v>
      </x:c>
      <x:c r="J138" s="24" t="str">
        <x:v>计算值</x:v>
      </x:c>
      <x:c r="K138" s="24" t="str">
        <x:v>VALID</x:v>
      </x:c>
      <x:c r="L138" s="24" t="n">
        <x:v>18500</x:v>
      </x:c>
      <x:c r="M138" s="24" t="str">
        <x:v>VALID</x:v>
      </x:c>
      <x:c r="N138" s="24" t="str">
        <x:v>OBSERVED_OR_CALCULATED</x:v>
      </x:c>
      <x:c r="O138" s="24" t="str">
        <x:v>符合Stage 3计算门槛。</x:v>
      </x:c>
      <x:c r="P138" s="24" t="n">
        <x:v>0</x:v>
      </x:c>
      <x:c r="Q138" s="24"/>
      <x:c r="R138" s="24"/>
      <x:c r="S138" s="24" t="str">
        <x:v>基于3个非null融资轮金额计算已知轮次金额中位数。</x:v>
      </x:c>
      <x:c r="T138" s="24" t="str">
        <x:v>EVT-688758-0003; EVT-688758-0005; EVT-688758-0006</x:v>
      </x:c>
      <x:c r="U138" s="24"/>
      <x:c r="V138" s="24" t="str">
        <x:v>FROZEN_UNCHANGED</x:v>
      </x:c>
      <x:c r="W138" s="24" t="n">
        <x:v>0</x:v>
      </x:c>
    </x:row>
    <x:row r="139" ht="52" customHeight="1">
      <x:c r="A139" s="24" t="str">
        <x:v>688758|CV007</x:v>
      </x:c>
      <x:c r="B139" s="24" t="str">
        <x:v>688758</x:v>
      </x:c>
      <x:c r="C139" s="24" t="str">
        <x:v>赛分科技</x:v>
      </x:c>
      <x:c r="D139" s="24" t="str">
        <x:v>CV007</x:v>
      </x:c>
      <x:c r="E139" s="24" t="str">
        <x:v>最大已知单轮融资金额</x:v>
      </x:c>
      <x:c r="F139" s="24" t="str">
        <x:v>融资峰值</x:v>
      </x:c>
      <x:c r="G139" s="24" t="str">
        <x:v>B扩展</x:v>
      </x:c>
      <x:c r="H139" s="24" t="str">
        <x:v>CONTINUOUS</x:v>
      </x:c>
      <x:c r="I139" s="24" t="str">
        <x:v>万元人民币</x:v>
      </x:c>
      <x:c r="J139" s="24" t="str">
        <x:v>计算值</x:v>
      </x:c>
      <x:c r="K139" s="24" t="str">
        <x:v>VALID</x:v>
      </x:c>
      <x:c r="L139" s="24" t="n">
        <x:v>54000</x:v>
      </x:c>
      <x:c r="M139" s="24" t="str">
        <x:v>VALID</x:v>
      </x:c>
      <x:c r="N139" s="24" t="str">
        <x:v>OBSERVED_OR_CALCULATED</x:v>
      </x:c>
      <x:c r="O139" s="24" t="str">
        <x:v>符合Stage 3计算门槛。</x:v>
      </x:c>
      <x:c r="P139" s="24" t="n">
        <x:v>0</x:v>
      </x:c>
      <x:c r="Q139" s="24"/>
      <x:c r="R139" s="24"/>
      <x:c r="S139" s="24" t="str">
        <x:v>基于3个非null融资轮金额计算最大已知轮次金额。</x:v>
      </x:c>
      <x:c r="T139" s="24" t="str">
        <x:v>EVT-688758-0003; EVT-688758-0005; EVT-688758-0006</x:v>
      </x:c>
      <x:c r="U139" s="24"/>
      <x:c r="V139" s="24" t="str">
        <x:v>FROZEN_UNCHANGED</x:v>
      </x:c>
      <x:c r="W139" s="24" t="n">
        <x:v>0</x:v>
      </x:c>
    </x:row>
    <x:row r="140" ht="52" customHeight="1">
      <x:c r="A140" s="24" t="str">
        <x:v>688758|CV008</x:v>
      </x:c>
      <x:c r="B140" s="24" t="str">
        <x:v>688758</x:v>
      </x:c>
      <x:c r="C140" s="24" t="str">
        <x:v>赛分科技</x:v>
      </x:c>
      <x:c r="D140" s="24" t="str">
        <x:v>CV008</x:v>
      </x:c>
      <x:c r="E140" s="24" t="str">
        <x:v>最大已知轮金额占比</x:v>
      </x:c>
      <x:c r="F140" s="24" t="str">
        <x:v>融资集中度</x:v>
      </x:c>
      <x:c r="G140" s="24" t="str">
        <x:v>B扩展</x:v>
      </x:c>
      <x:c r="H140" s="24" t="str">
        <x:v>RATIO</x:v>
      </x:c>
      <x:c r="I140" s="24" t="str">
        <x:v>0–1</x:v>
      </x:c>
      <x:c r="J140" s="24" t="str">
        <x:v>计算值</x:v>
      </x:c>
      <x:c r="K140" s="24" t="str">
        <x:v>VALID</x:v>
      </x:c>
      <x:c r="L140" s="24" t="n">
        <x:v>0.7297297297297297</x:v>
      </x:c>
      <x:c r="M140" s="24" t="str">
        <x:v>VALID</x:v>
      </x:c>
      <x:c r="N140" s="24" t="str">
        <x:v>OBSERVED_OR_CALCULATED</x:v>
      </x:c>
      <x:c r="O140" s="24" t="str">
        <x:v>符合Stage 3计算门槛。</x:v>
      </x:c>
      <x:c r="P140" s="24" t="n">
        <x:v>0</x:v>
      </x:c>
      <x:c r="Q140" s="24"/>
      <x:c r="R140" s="24"/>
      <x:c r="S140" s="24" t="str">
        <x:v>最大已知轮金额/已知事件锚点金额合计。</x:v>
      </x:c>
      <x:c r="T140" s="24" t="str">
        <x:v>EVT-688758-0003; EVT-688758-0005; EVT-688758-0006</x:v>
      </x:c>
      <x:c r="U140" s="24"/>
      <x:c r="V140" s="24" t="str">
        <x:v>FROZEN_UNCHANGED</x:v>
      </x:c>
      <x:c r="W140" s="24" t="n">
        <x:v>0</x:v>
      </x:c>
    </x:row>
    <x:row r="141" ht="52" customHeight="1">
      <x:c r="A141" s="24" t="str">
        <x:v>688758|CV009</x:v>
      </x:c>
      <x:c r="B141" s="24" t="str">
        <x:v>688758</x:v>
      </x:c>
      <x:c r="C141" s="24" t="str">
        <x:v>赛分科技</x:v>
      </x:c>
      <x:c r="D141" s="24" t="str">
        <x:v>CV009</x:v>
      </x:c>
      <x:c r="E141" s="24" t="str">
        <x:v>融资时间跨度</x:v>
      </x:c>
      <x:c r="F141" s="24" t="str">
        <x:v>融资节奏</x:v>
      </x:c>
      <x:c r="G141" s="24" t="str">
        <x:v>A核心</x:v>
      </x:c>
      <x:c r="H141" s="24" t="str">
        <x:v>CONTINUOUS</x:v>
      </x:c>
      <x:c r="I141" s="24" t="str">
        <x:v>月</x:v>
      </x:c>
      <x:c r="J141" s="24" t="str">
        <x:v>计算值</x:v>
      </x:c>
      <x:c r="K141" s="24" t="str">
        <x:v>VALID</x:v>
      </x:c>
      <x:c r="L141" s="24" t="n">
        <x:v>8</x:v>
      </x:c>
      <x:c r="M141" s="24" t="str">
        <x:v>VALID</x:v>
      </x:c>
      <x:c r="N141" s="24" t="str">
        <x:v>OBSERVED_OR_CALCULATED</x:v>
      </x:c>
      <x:c r="O141" s="24" t="str">
        <x:v>符合Stage 3计算门槛。</x:v>
      </x:c>
      <x:c r="P141" s="24" t="n">
        <x:v>0</x:v>
      </x:c>
      <x:c r="Q141" s="24"/>
      <x:c r="R141" s="24"/>
      <x:c r="S141" s="24" t="str">
        <x:v>使用3个可用年月计算最晚减最早。</x:v>
      </x:c>
      <x:c r="T141" s="24" t="str">
        <x:v>EVT-688758-0003; EVT-688758-0005; EVT-688758-0006</x:v>
      </x:c>
      <x:c r="U141" s="24"/>
      <x:c r="V141" s="24" t="str">
        <x:v>FROZEN_UNCHANGED</x:v>
      </x:c>
      <x:c r="W141" s="24" t="n">
        <x:v>0</x:v>
      </x:c>
    </x:row>
    <x:row r="142" ht="52" customHeight="1">
      <x:c r="A142" s="24" t="str">
        <x:v>688758|CV010</x:v>
      </x:c>
      <x:c r="B142" s="24" t="str">
        <x:v>688758</x:v>
      </x:c>
      <x:c r="C142" s="24" t="str">
        <x:v>赛分科技</x:v>
      </x:c>
      <x:c r="D142" s="24" t="str">
        <x:v>CV010</x:v>
      </x:c>
      <x:c r="E142" s="24" t="str">
        <x:v>融资轮次间隔中位数</x:v>
      </x:c>
      <x:c r="F142" s="24" t="str">
        <x:v>融资节奏</x:v>
      </x:c>
      <x:c r="G142" s="24" t="str">
        <x:v>B扩展</x:v>
      </x:c>
      <x:c r="H142" s="24" t="str">
        <x:v>CONTINUOUS</x:v>
      </x:c>
      <x:c r="I142" s="24" t="str">
        <x:v>月</x:v>
      </x:c>
      <x:c r="J142" s="24" t="str">
        <x:v>计算值</x:v>
      </x:c>
      <x:c r="K142" s="24" t="str">
        <x:v>VALID</x:v>
      </x:c>
      <x:c r="L142" s="24" t="n">
        <x:v>4</x:v>
      </x:c>
      <x:c r="M142" s="24" t="str">
        <x:v>VALID</x:v>
      </x:c>
      <x:c r="N142" s="24" t="str">
        <x:v>OBSERVED_OR_CALCULATED</x:v>
      </x:c>
      <x:c r="O142" s="24" t="str">
        <x:v>符合Stage 3计算门槛。</x:v>
      </x:c>
      <x:c r="P142" s="24" t="n">
        <x:v>0</x:v>
      </x:c>
      <x:c r="Q142" s="24"/>
      <x:c r="R142" s="24"/>
      <x:c r="S142" s="24" t="str">
        <x:v>对2个相邻月份差取中位数。</x:v>
      </x:c>
      <x:c r="T142" s="24" t="str">
        <x:v>EVT-688758-0003; EVT-688758-0005; EVT-688758-0006</x:v>
      </x:c>
      <x:c r="U142" s="24"/>
      <x:c r="V142" s="24" t="str">
        <x:v>FROZEN_UNCHANGED</x:v>
      </x:c>
      <x:c r="W142" s="24" t="n">
        <x:v>0</x:v>
      </x:c>
    </x:row>
    <x:row r="143" ht="52" customHeight="1">
      <x:c r="A143" s="24" t="str">
        <x:v>688758|CV011</x:v>
      </x:c>
      <x:c r="B143" s="24" t="str">
        <x:v>688758</x:v>
      </x:c>
      <x:c r="C143" s="24" t="str">
        <x:v>赛分科技</x:v>
      </x:c>
      <x:c r="D143" s="24" t="str">
        <x:v>CV011</x:v>
      </x:c>
      <x:c r="E143" s="24" t="str">
        <x:v>确认PE/VC参与标记</x:v>
      </x:c>
      <x:c r="F143" s="24" t="str">
        <x:v>PEVC参与</x:v>
      </x:c>
      <x:c r="G143" s="24" t="str">
        <x:v>A核心</x:v>
      </x:c>
      <x:c r="H143" s="24" t="str">
        <x:v>BINARY</x:v>
      </x:c>
      <x:c r="I143" s="24" t="str">
        <x:v>0/1</x:v>
      </x:c>
      <x:c r="J143" s="24" t="str">
        <x:v>研究判断派生</x:v>
      </x:c>
      <x:c r="K143" s="24" t="str">
        <x:v>VALID</x:v>
      </x:c>
      <x:c r="L143" s="24" t="n">
        <x:v>0</x:v>
      </x:c>
      <x:c r="M143" s="24" t="str">
        <x:v>VALID</x:v>
      </x:c>
      <x:c r="N143" s="24" t="str">
        <x:v>OBSERVED_OR_CALCULATED</x:v>
      </x:c>
      <x:c r="O143" s="24" t="str">
        <x:v>符合Stage 3计算门槛。</x:v>
      </x:c>
      <x:c r="P143" s="24" t="n">
        <x:v>1</x:v>
      </x:c>
      <x:c r="Q143" s="24"/>
      <x:c r="R143" s="24"/>
      <x:c r="S143" s="24" t="str">
        <x:v>confirmed_pevc_legal_entity_count=0。</x:v>
      </x:c>
      <x:c r="T143" s="24" t="str">
        <x:v>companies:688758</x:v>
      </x:c>
      <x:c r="U143" s="24"/>
      <x:c r="V143" s="24" t="str">
        <x:v>FROZEN_UNCHANGED</x:v>
      </x:c>
      <x:c r="W143" s="24" t="n">
        <x:v>0</x:v>
      </x:c>
    </x:row>
    <x:row r="144" ht="52" customHeight="1">
      <x:c r="A144" s="24" t="str">
        <x:v>688758|CV012</x:v>
      </x:c>
      <x:c r="B144" s="24" t="str">
        <x:v>688758</x:v>
      </x:c>
      <x:c r="C144" s="24" t="str">
        <x:v>赛分科技</x:v>
      </x:c>
      <x:c r="D144" s="24" t="str">
        <x:v>CV012</x:v>
      </x:c>
      <x:c r="E144" s="24" t="str">
        <x:v>确认PE/VC法律主体数</x:v>
      </x:c>
      <x:c r="F144" s="24" t="str">
        <x:v>PEVC参与</x:v>
      </x:c>
      <x:c r="G144" s="24" t="str">
        <x:v>A核心</x:v>
      </x:c>
      <x:c r="H144" s="24" t="str">
        <x:v>INTEGER</x:v>
      </x:c>
      <x:c r="I144" s="24" t="str">
        <x:v>个</x:v>
      </x:c>
      <x:c r="J144" s="24" t="str">
        <x:v>计算值+研究判断</x:v>
      </x:c>
      <x:c r="K144" s="24" t="str">
        <x:v>VALID</x:v>
      </x:c>
      <x:c r="L144" s="24" t="n">
        <x:v>0</x:v>
      </x:c>
      <x:c r="M144" s="24" t="str">
        <x:v>VALID</x:v>
      </x:c>
      <x:c r="N144" s="24" t="str">
        <x:v>OBSERVED_OR_CALCULATED</x:v>
      </x:c>
      <x:c r="O144" s="24" t="str">
        <x:v>符合Stage 3计算门槛。</x:v>
      </x:c>
      <x:c r="P144" s="24" t="n">
        <x:v>1</x:v>
      </x:c>
      <x:c r="Q144" s="24"/>
      <x:c r="R144" s="24"/>
      <x:c r="S144" s="24" t="str">
        <x:v>读取公司层冻结确认PE/VC法律主体数。</x:v>
      </x:c>
      <x:c r="T144" s="24" t="str">
        <x:v>companies:688758</x:v>
      </x:c>
      <x:c r="U144" s="24"/>
      <x:c r="V144" s="24" t="str">
        <x:v>FROZEN_UNCHANGED</x:v>
      </x:c>
      <x:c r="W144" s="24" t="n">
        <x:v>0</x:v>
      </x:c>
    </x:row>
    <x:row r="145" ht="52" customHeight="1">
      <x:c r="A145" s="24" t="str">
        <x:v>688758|CV013</x:v>
      </x:c>
      <x:c r="B145" s="24" t="str">
        <x:v>688758</x:v>
      </x:c>
      <x:c r="C145" s="24" t="str">
        <x:v>赛分科技</x:v>
      </x:c>
      <x:c r="D145" s="24" t="str">
        <x:v>CV013</x:v>
      </x:c>
      <x:c r="E145" s="24" t="str">
        <x:v>确认PE/VC占直接主体比重</x:v>
      </x:c>
      <x:c r="F145" s="24" t="str">
        <x:v>PEVC参与</x:v>
      </x:c>
      <x:c r="G145" s="24" t="str">
        <x:v>B扩展</x:v>
      </x:c>
      <x:c r="H145" s="24" t="str">
        <x:v>RATIO</x:v>
      </x:c>
      <x:c r="I145" s="24" t="str">
        <x:v>0–1</x:v>
      </x:c>
      <x:c r="J145" s="24" t="str">
        <x:v>计算值+研究判断</x:v>
      </x:c>
      <x:c r="K145" s="24" t="str">
        <x:v>VALID</x:v>
      </x:c>
      <x:c r="L145" s="24" t="n">
        <x:v>0</x:v>
      </x:c>
      <x:c r="M145" s="24" t="str">
        <x:v>VALID</x:v>
      </x:c>
      <x:c r="N145" s="24" t="str">
        <x:v>OBSERVED_OR_CALCULATED</x:v>
      </x:c>
      <x:c r="O145" s="24" t="str">
        <x:v>符合Stage 3计算门槛。</x:v>
      </x:c>
      <x:c r="P145" s="24" t="n">
        <x:v>1</x:v>
      </x:c>
      <x:c r="Q145" s="24"/>
      <x:c r="R145" s="24"/>
      <x:c r="S145" s="24" t="str">
        <x:v>确认PE/VC法律主体数/直接参与法律主体数。</x:v>
      </x:c>
      <x:c r="T145" s="24" t="str">
        <x:v>companies:688758</x:v>
      </x:c>
      <x:c r="U145" s="24"/>
      <x:c r="V145" s="24" t="str">
        <x:v>FROZEN_UNCHANGED</x:v>
      </x:c>
      <x:c r="W145" s="24" t="n">
        <x:v>0</x:v>
      </x:c>
    </x:row>
    <x:row r="146" ht="52" customHeight="1">
      <x:c r="A146" s="24" t="str">
        <x:v>688758|CV014</x:v>
      </x:c>
      <x:c r="B146" s="24" t="str">
        <x:v>688758</x:v>
      </x:c>
      <x:c r="C146" s="24" t="str">
        <x:v>赛分科技</x:v>
      </x:c>
      <x:c r="D146" s="24" t="str">
        <x:v>CV014</x:v>
      </x:c>
      <x:c r="E146" s="24" t="str">
        <x:v>确认PE/VC参与融资轮数</x:v>
      </x:c>
      <x:c r="F146" s="24" t="str">
        <x:v>PEVC参与深度</x:v>
      </x:c>
      <x:c r="G146" s="24" t="str">
        <x:v>B扩展</x:v>
      </x:c>
      <x:c r="H146" s="24" t="str">
        <x:v>INTEGER</x:v>
      </x:c>
      <x:c r="I146" s="24" t="str">
        <x:v>轮</x:v>
      </x:c>
      <x:c r="J146" s="24" t="str">
        <x:v>研究判断派生</x:v>
      </x:c>
      <x:c r="K146" s="24" t="str">
        <x:v>VALID</x:v>
      </x:c>
      <x:c r="L146" s="24" t="n">
        <x:v>0</x:v>
      </x:c>
      <x:c r="M146" s="24" t="str">
        <x:v>VALID</x:v>
      </x:c>
      <x:c r="N146" s="24" t="str">
        <x:v>OBSERVED_OR_CALCULATED</x:v>
      </x:c>
      <x:c r="O146" s="24" t="str">
        <x:v>符合Stage 3计算门槛。</x:v>
      </x:c>
      <x:c r="P146" s="24" t="n">
        <x:v>1</x:v>
      </x:c>
      <x:c r="Q146" s="24"/>
      <x:c r="R146" s="24"/>
      <x:c r="S146" s="24" t="str">
        <x:v>公司层确认PE/VC数为0，因此确认PE/VC参与融资轮数为0。</x:v>
      </x:c>
      <x:c r="T146" s="24" t="str">
        <x:v>companies:688758</x:v>
      </x:c>
      <x:c r="U146" s="24"/>
      <x:c r="V146" s="24" t="str">
        <x:v>FROZEN_UNCHANGED</x:v>
      </x:c>
      <x:c r="W146" s="24" t="n">
        <x:v>0</x:v>
      </x:c>
    </x:row>
    <x:row r="147" ht="52" customHeight="1">
      <x:c r="A147" s="24" t="str">
        <x:v>688758|CV015</x:v>
      </x:c>
      <x:c r="B147" s="24" t="str">
        <x:v>688758</x:v>
      </x:c>
      <x:c r="C147" s="24" t="str">
        <x:v>赛分科技</x:v>
      </x:c>
      <x:c r="D147" s="24" t="str">
        <x:v>CV015</x:v>
      </x:c>
      <x:c r="E147" s="24" t="str">
        <x:v>首次确认PE/VC进入日期</x:v>
      </x:c>
      <x:c r="F147" s="24" t="str">
        <x:v>PEVC进入时点</x:v>
      </x:c>
      <x:c r="G147" s="24" t="str">
        <x:v>A核心</x:v>
      </x:c>
      <x:c r="H147" s="24" t="str">
        <x:v>DATE_OR_MONTH</x:v>
      </x:c>
      <x:c r="I147" s="24" t="str">
        <x:v>日期或年月</x:v>
      </x:c>
      <x:c r="J147" s="24" t="str">
        <x:v>研究判断派生</x:v>
      </x:c>
      <x:c r="K147" s="24" t="str">
        <x:v>STRUCTURAL_NA</x:v>
      </x:c>
      <x:c r="L147" s="24"/>
      <x:c r="M147" s="24" t="str">
        <x:v>STRUCTURAL_NA</x:v>
      </x:c>
      <x:c r="N147" s="24" t="str">
        <x:v>STRUCTURAL_NA_NO_CONFIRMED_PEVC</x:v>
      </x:c>
      <x:c r="O147" s="24" t="str">
        <x:v>公司没有确认PE/VC法律主体。</x:v>
      </x:c>
      <x:c r="P147" s="24" t="n">
        <x:v>0</x:v>
      </x:c>
      <x:c r="Q147" s="24"/>
      <x:c r="R147" s="24"/>
      <x:c r="S147" s="24" t="str">
        <x:v>首次确认PE/VC进入日期不适用。</x:v>
      </x:c>
      <x:c r="T147" s="24" t="str">
        <x:v>companies:688758</x:v>
      </x:c>
      <x:c r="U147" s="24"/>
      <x:c r="V147" s="24" t="str">
        <x:v>FROZEN_UNCHANGED</x:v>
      </x:c>
      <x:c r="W147" s="24" t="n">
        <x:v>0</x:v>
      </x:c>
    </x:row>
    <x:row r="148" ht="52" customHeight="1">
      <x:c r="A148" s="24" t="str">
        <x:v>688758|CV016</x:v>
      </x:c>
      <x:c r="B148" s="24" t="str">
        <x:v>688758</x:v>
      </x:c>
      <x:c r="C148" s="24" t="str">
        <x:v>赛分科技</x:v>
      </x:c>
      <x:c r="D148" s="24" t="str">
        <x:v>CV016</x:v>
      </x:c>
      <x:c r="E148" s="24" t="str">
        <x:v>首次确认PE/VC进入年份</x:v>
      </x:c>
      <x:c r="F148" s="24" t="str">
        <x:v>PEVC进入时点</x:v>
      </x:c>
      <x:c r="G148" s="24" t="str">
        <x:v>B扩展</x:v>
      </x:c>
      <x:c r="H148" s="24" t="str">
        <x:v>INTEGER</x:v>
      </x:c>
      <x:c r="I148" s="24" t="str">
        <x:v>年</x:v>
      </x:c>
      <x:c r="J148" s="24" t="str">
        <x:v>计算值+研究判断</x:v>
      </x:c>
      <x:c r="K148" s="24" t="str">
        <x:v>STRUCTURAL_NA</x:v>
      </x:c>
      <x:c r="L148" s="24"/>
      <x:c r="M148" s="24" t="str">
        <x:v>STRUCTURAL_NA</x:v>
      </x:c>
      <x:c r="N148" s="24" t="str">
        <x:v>STRUCTURAL_NA_NO_CONFIRMED_PEVC</x:v>
      </x:c>
      <x:c r="O148" s="24" t="str">
        <x:v>公司没有确认PE/VC法律主体。</x:v>
      </x:c>
      <x:c r="P148" s="24" t="n">
        <x:v>0</x:v>
      </x:c>
      <x:c r="Q148" s="24"/>
      <x:c r="R148" s="24"/>
      <x:c r="S148" s="24" t="str">
        <x:v>首次确认PE/VC进入年份不适用。</x:v>
      </x:c>
      <x:c r="T148" s="24" t="str">
        <x:v>companies:688758</x:v>
      </x:c>
      <x:c r="U148" s="24"/>
      <x:c r="V148" s="24" t="str">
        <x:v>FROZEN_UNCHANGED</x:v>
      </x:c>
      <x:c r="W148" s="24" t="n">
        <x:v>0</x:v>
      </x:c>
    </x:row>
    <x:row r="149" ht="52" customHeight="1">
      <x:c r="A149" s="24" t="str">
        <x:v>688758|CV017</x:v>
      </x:c>
      <x:c r="B149" s="24" t="str">
        <x:v>688758</x:v>
      </x:c>
      <x:c r="C149" s="24" t="str">
        <x:v>赛分科技</x:v>
      </x:c>
      <x:c r="D149" s="24" t="str">
        <x:v>CV017</x:v>
      </x:c>
      <x:c r="E149" s="24" t="str">
        <x:v>首次确认PE/VC融资轮位置</x:v>
      </x:c>
      <x:c r="F149" s="24" t="str">
        <x:v>PEVC进入时点</x:v>
      </x:c>
      <x:c r="G149" s="24" t="str">
        <x:v>B扩展</x:v>
      </x:c>
      <x:c r="H149" s="24" t="str">
        <x:v>RATIO</x:v>
      </x:c>
      <x:c r="I149" s="24" t="str">
        <x:v>0–1</x:v>
      </x:c>
      <x:c r="J149" s="24" t="str">
        <x:v>研究判断派生</x:v>
      </x:c>
      <x:c r="K149" s="24" t="str">
        <x:v>STRUCTURAL_NA</x:v>
      </x:c>
      <x:c r="L149" s="24"/>
      <x:c r="M149" s="24" t="str">
        <x:v>STRUCTURAL_NA</x:v>
      </x:c>
      <x:c r="N149" s="24" t="str">
        <x:v>STRUCTURAL_NA_NO_CONFIRMED_PEVC</x:v>
      </x:c>
      <x:c r="O149" s="24" t="str">
        <x:v>公司没有确认PE/VC法律主体。</x:v>
      </x:c>
      <x:c r="P149" s="24" t="n">
        <x:v>0</x:v>
      </x:c>
      <x:c r="Q149" s="24"/>
      <x:c r="R149" s="24"/>
      <x:c r="S149" s="24" t="str">
        <x:v>首次确认PE/VC融资轮位置不适用。</x:v>
      </x:c>
      <x:c r="T149" s="24" t="str">
        <x:v>companies:688758</x:v>
      </x:c>
      <x:c r="U149" s="24"/>
      <x:c r="V149" s="24" t="str">
        <x:v>FROZEN_UNCHANGED</x:v>
      </x:c>
      <x:c r="W149" s="24" t="n">
        <x:v>0</x:v>
      </x:c>
    </x:row>
    <x:row r="150" ht="52" customHeight="1">
      <x:c r="A150" s="24" t="str">
        <x:v>688758|CV018</x:v>
      </x:c>
      <x:c r="B150" s="24" t="str">
        <x:v>688758</x:v>
      </x:c>
      <x:c r="C150" s="24" t="str">
        <x:v>赛分科技</x:v>
      </x:c>
      <x:c r="D150" s="24" t="str">
        <x:v>CV018</x:v>
      </x:c>
      <x:c r="E150" s="24" t="str">
        <x:v>确认PE/VC间接路径标记</x:v>
      </x:c>
      <x:c r="F150" s="24" t="str">
        <x:v>投资路径复杂度</x:v>
      </x:c>
      <x:c r="G150" s="24" t="str">
        <x:v>B扩展</x:v>
      </x:c>
      <x:c r="H150" s="24" t="str">
        <x:v>BINARY</x:v>
      </x:c>
      <x:c r="I150" s="24" t="str">
        <x:v>0/1</x:v>
      </x:c>
      <x:c r="J150" s="24" t="str">
        <x:v>研究判断派生</x:v>
      </x:c>
      <x:c r="K150" s="24" t="str">
        <x:v>VALID</x:v>
      </x:c>
      <x:c r="L150" s="24" t="n">
        <x:v>0</x:v>
      </x:c>
      <x:c r="M150" s="24" t="str">
        <x:v>VALID</x:v>
      </x:c>
      <x:c r="N150" s="24" t="str">
        <x:v>OBSERVED_OR_CALCULATED</x:v>
      </x:c>
      <x:c r="O150" s="24" t="str">
        <x:v>符合Stage 3计算门槛。</x:v>
      </x:c>
      <x:c r="P150" s="24" t="n">
        <x:v>1</x:v>
      </x:c>
      <x:c r="Q150" s="24"/>
      <x:c r="R150" s="24"/>
      <x:c r="S150" s="24" t="str">
        <x:v>公司层确认PE/VC数为0，因此不存在确认PE/VC间接路径。</x:v>
      </x:c>
      <x:c r="T150" s="24" t="str">
        <x:v>companies:688758</x:v>
      </x:c>
      <x:c r="U150" s="24"/>
      <x:c r="V150" s="24" t="str">
        <x:v>FROZEN_UNCHANGED</x:v>
      </x:c>
      <x:c r="W150" s="24" t="n">
        <x:v>0</x:v>
      </x:c>
    </x:row>
    <x:row r="151" ht="52" customHeight="1">
      <x:c r="A151" s="24" t="str">
        <x:v>688758|CV019</x:v>
      </x:c>
      <x:c r="B151" s="24" t="str">
        <x:v>688758</x:v>
      </x:c>
      <x:c r="C151" s="24" t="str">
        <x:v>赛分科技</x:v>
      </x:c>
      <x:c r="D151" s="24" t="str">
        <x:v>CV019</x:v>
      </x:c>
      <x:c r="E151" s="24" t="str">
        <x:v>确认PE/VC进入方式多样性</x:v>
      </x:c>
      <x:c r="F151" s="24" t="str">
        <x:v>PEVC进入方式</x:v>
      </x:c>
      <x:c r="G151" s="24" t="str">
        <x:v>B扩展</x:v>
      </x:c>
      <x:c r="H151" s="24" t="str">
        <x:v>INTEGER</x:v>
      </x:c>
      <x:c r="I151" s="24" t="str">
        <x:v>种</x:v>
      </x:c>
      <x:c r="J151" s="24" t="str">
        <x:v>研究判断派生</x:v>
      </x:c>
      <x:c r="K151" s="24" t="str">
        <x:v>VALID</x:v>
      </x:c>
      <x:c r="L151" s="24" t="n">
        <x:v>0</x:v>
      </x:c>
      <x:c r="M151" s="24" t="str">
        <x:v>VALID</x:v>
      </x:c>
      <x:c r="N151" s="24" t="str">
        <x:v>OBSERVED_OR_CALCULATED</x:v>
      </x:c>
      <x:c r="O151" s="24" t="str">
        <x:v>符合Stage 3计算门槛。</x:v>
      </x:c>
      <x:c r="P151" s="24" t="n">
        <x:v>1</x:v>
      </x:c>
      <x:c r="Q151" s="24"/>
      <x:c r="R151" s="24"/>
      <x:c r="S151" s="24" t="str">
        <x:v>公司层确认PE/VC数为0，因此进入方式种类为0。</x:v>
      </x:c>
      <x:c r="T151" s="24" t="str">
        <x:v>companies:688758</x:v>
      </x:c>
      <x:c r="U151" s="24"/>
      <x:c r="V151" s="24" t="str">
        <x:v>FROZEN_UNCHANGED</x:v>
      </x:c>
      <x:c r="W151" s="24" t="n">
        <x:v>0</x:v>
      </x:c>
    </x:row>
    <x:row r="152" ht="52" customHeight="1">
      <x:c r="A152" s="24" t="str">
        <x:v>688758|CV020</x:v>
      </x:c>
      <x:c r="B152" s="24" t="str">
        <x:v>688758</x:v>
      </x:c>
      <x:c r="C152" s="24" t="str">
        <x:v>赛分科技</x:v>
      </x:c>
      <x:c r="D152" s="24" t="str">
        <x:v>CV020</x:v>
      </x:c>
      <x:c r="E152" s="24" t="str">
        <x:v>直接参与法律主体数</x:v>
      </x:c>
      <x:c r="F152" s="24" t="str">
        <x:v>参与结构规模</x:v>
      </x:c>
      <x:c r="G152" s="24" t="str">
        <x:v>A核心</x:v>
      </x:c>
      <x:c r="H152" s="24" t="str">
        <x:v>INTEGER</x:v>
      </x:c>
      <x:c r="I152" s="24" t="str">
        <x:v>个</x:v>
      </x:c>
      <x:c r="J152" s="24" t="str">
        <x:v>计算值</x:v>
      </x:c>
      <x:c r="K152" s="24" t="str">
        <x:v>VALID</x:v>
      </x:c>
      <x:c r="L152" s="24" t="n">
        <x:v>17</x:v>
      </x:c>
      <x:c r="M152" s="24" t="str">
        <x:v>VALID</x:v>
      </x:c>
      <x:c r="N152" s="24" t="str">
        <x:v>OBSERVED_OR_CALCULATED</x:v>
      </x:c>
      <x:c r="O152" s="24" t="str">
        <x:v>符合Stage 3计算门槛。</x:v>
      </x:c>
      <x:c r="P152" s="24" t="n">
        <x:v>0</x:v>
      </x:c>
      <x:c r="Q152" s="24"/>
      <x:c r="R152" s="24"/>
      <x:c r="S152" s="24" t="str">
        <x:v>读取公司层冻结直接参与法律主体数。</x:v>
      </x:c>
      <x:c r="T152" s="24" t="str">
        <x:v>companies:688758</x:v>
      </x:c>
      <x:c r="U152" s="24"/>
      <x:c r="V152" s="24" t="str">
        <x:v>FROZEN_UNCHANGED</x:v>
      </x:c>
      <x:c r="W152" s="24" t="n">
        <x:v>0</x:v>
      </x:c>
    </x:row>
    <x:row r="153" ht="52" customHeight="1">
      <x:c r="A153" s="24" t="str">
        <x:v>688758|CV021</x:v>
      </x:c>
      <x:c r="B153" s="24" t="str">
        <x:v>688758</x:v>
      </x:c>
      <x:c r="C153" s="24" t="str">
        <x:v>赛分科技</x:v>
      </x:c>
      <x:c r="D153" s="24" t="str">
        <x:v>CV021</x:v>
      </x:c>
      <x:c r="E153" s="24" t="str">
        <x:v>融资投资方法律主体数</x:v>
      </x:c>
      <x:c r="F153" s="24" t="str">
        <x:v>融资参与广度</x:v>
      </x:c>
      <x:c r="G153" s="24" t="str">
        <x:v>B扩展</x:v>
      </x:c>
      <x:c r="H153" s="24" t="str">
        <x:v>INTEGER</x:v>
      </x:c>
      <x:c r="I153" s="24" t="str">
        <x:v>个</x:v>
      </x:c>
      <x:c r="J153" s="24" t="str">
        <x:v>计算值</x:v>
      </x:c>
      <x:c r="K153" s="24" t="str">
        <x:v>VALID</x:v>
      </x:c>
      <x:c r="L153" s="24" t="n">
        <x:v>2</x:v>
      </x:c>
      <x:c r="M153" s="24" t="str">
        <x:v>VALID</x:v>
      </x:c>
      <x:c r="N153" s="24" t="str">
        <x:v>OBSERVED_OR_CALCULATED</x:v>
      </x:c>
      <x:c r="O153" s="24" t="str">
        <x:v>符合Stage 3计算门槛。</x:v>
      </x:c>
      <x:c r="P153" s="24" t="n">
        <x:v>0</x:v>
      </x:c>
      <x:c r="Q153" s="24" t="str">
        <x:v>ENTITY_NAME_CROSSWALK_LIMITATION</x:v>
      </x:c>
      <x:c r="R153" s="24" t="str">
        <x:v>稳定ID足以计数，但部分PTY名称及PTY↔INV crosswalk未恢复，不能做名称级网络解释。</x:v>
      </x:c>
      <x:c r="S153" s="24" t="str">
        <x:v>融资轮相关交易中筛选INVESTOR，canonical_entity_id优先、否则entity_id去重。</x:v>
      </x:c>
      <x:c r="T153" s="24" t="str">
        <x:v>TRX-688758-0003-02-P02; TRX-688758-0005-01-P01; TRX-688758-0005-01-P02; TRX-688758-0006-01-P01</x:v>
      </x:c>
      <x:c r="U153" s="24"/>
      <x:c r="V153" s="24" t="str">
        <x:v>FROZEN_UNCHANGED</x:v>
      </x:c>
      <x:c r="W153" s="24" t="n">
        <x:v>1</x:v>
      </x:c>
    </x:row>
    <x:row r="154" ht="52" customHeight="1">
      <x:c r="A154" s="24" t="str">
        <x:v>688758|CV022</x:v>
      </x:c>
      <x:c r="B154" s="24" t="str">
        <x:v>688758</x:v>
      </x:c>
      <x:c r="C154" s="24" t="str">
        <x:v>赛分科技</x:v>
      </x:c>
      <x:c r="D154" s="24" t="str">
        <x:v>CV022</x:v>
      </x:c>
      <x:c r="E154" s="24" t="str">
        <x:v>每轮融资投资方密度</x:v>
      </x:c>
      <x:c r="F154" s="24" t="str">
        <x:v>融资参与密度</x:v>
      </x:c>
      <x:c r="G154" s="24" t="str">
        <x:v>B扩展</x:v>
      </x:c>
      <x:c r="H154" s="24" t="str">
        <x:v>RATIO</x:v>
      </x:c>
      <x:c r="I154" s="24" t="str">
        <x:v>个/轮</x:v>
      </x:c>
      <x:c r="J154" s="24" t="str">
        <x:v>计算值</x:v>
      </x:c>
      <x:c r="K154" s="24" t="str">
        <x:v>VALID</x:v>
      </x:c>
      <x:c r="L154" s="24" t="n">
        <x:v>0.6666666666666666</x:v>
      </x:c>
      <x:c r="M154" s="24" t="str">
        <x:v>VALID</x:v>
      </x:c>
      <x:c r="N154" s="24" t="str">
        <x:v>OBSERVED_OR_CALCULATED</x:v>
      </x:c>
      <x:c r="O154" s="24" t="str">
        <x:v>符合Stage 3计算门槛。</x:v>
      </x:c>
      <x:c r="P154" s="24" t="n">
        <x:v>0</x:v>
      </x:c>
      <x:c r="Q154" s="24" t="str">
        <x:v>ENTITY_NAME_CROSSWALK_LIMITATION</x:v>
      </x:c>
      <x:c r="R154" s="24" t="str">
        <x:v>稳定ID足以计数，但部分PTY名称及PTY↔INV crosswalk未恢复，不能做名称级网络解释。</x:v>
      </x:c>
      <x:c r="S154" s="24" t="str">
        <x:v>融资投资方法律主体数/融资轮数。</x:v>
      </x:c>
      <x:c r="T154" s="24" t="str">
        <x:v>TRX-688758-0003-02-P02; TRX-688758-0005-01-P01; TRX-688758-0005-01-P02; TRX-688758-0006-01-P01</x:v>
      </x:c>
      <x:c r="U154" s="24"/>
      <x:c r="V154" s="24" t="str">
        <x:v>FROZEN_UNCHANGED</x:v>
      </x:c>
      <x:c r="W154" s="24" t="n">
        <x:v>1</x:v>
      </x:c>
    </x:row>
    <x:row r="155" ht="52" customHeight="1">
      <x:c r="A155" s="24" t="str">
        <x:v>688758|CV023</x:v>
      </x:c>
      <x:c r="B155" s="24" t="str">
        <x:v>688758</x:v>
      </x:c>
      <x:c r="C155" s="24" t="str">
        <x:v>赛分科技</x:v>
      </x:c>
      <x:c r="D155" s="24" t="str">
        <x:v>CV023</x:v>
      </x:c>
      <x:c r="E155" s="24" t="str">
        <x:v>融资方式多样性</x:v>
      </x:c>
      <x:c r="F155" s="24" t="str">
        <x:v>融资机制</x:v>
      </x:c>
      <x:c r="G155" s="24" t="str">
        <x:v>B扩展</x:v>
      </x:c>
      <x:c r="H155" s="24" t="str">
        <x:v>INTEGER</x:v>
      </x:c>
      <x:c r="I155" s="24" t="str">
        <x:v>种</x:v>
      </x:c>
      <x:c r="J155" s="24" t="str">
        <x:v>计算值</x:v>
      </x:c>
      <x:c r="K155" s="24" t="str">
        <x:v>VALID</x:v>
      </x:c>
      <x:c r="L155" s="24" t="n">
        <x:v>1</x:v>
      </x:c>
      <x:c r="M155" s="24" t="str">
        <x:v>VALID</x:v>
      </x:c>
      <x:c r="N155" s="24" t="str">
        <x:v>OBSERVED_OR_CALCULATED</x:v>
      </x:c>
      <x:c r="O155" s="24" t="str">
        <x:v>符合Stage 3计算门槛。</x:v>
      </x:c>
      <x:c r="P155" s="24" t="n">
        <x:v>0</x:v>
      </x:c>
      <x:c r="Q155" s="24"/>
      <x:c r="R155" s="24"/>
      <x:c r="S155" s="24" t="str">
        <x:v>融资交易组成标准化方式=['CAPITAL_INCREASE']。</x:v>
      </x:c>
      <x:c r="T155" s="24" t="str">
        <x:v>TRX-688758-0003-02; TRX-688758-0005-01; TRX-688758-0006-01</x:v>
      </x:c>
      <x:c r="U155" s="24"/>
      <x:c r="V155" s="24" t="str">
        <x:v>FROZEN_UNCHANGED</x:v>
      </x:c>
      <x:c r="W155" s="24" t="n">
        <x:v>0</x:v>
      </x:c>
    </x:row>
    <x:row r="156" ht="52" customHeight="1">
      <x:c r="A156" s="24" t="str">
        <x:v>688758|CV024</x:v>
      </x:c>
      <x:c r="B156" s="24" t="str">
        <x:v>688758</x:v>
      </x:c>
      <x:c r="C156" s="24" t="str">
        <x:v>赛分科技</x:v>
      </x:c>
      <x:c r="D156" s="24" t="str">
        <x:v>CV024</x:v>
      </x:c>
      <x:c r="E156" s="24" t="str">
        <x:v>股权转让交易数</x:v>
      </x:c>
      <x:c r="F156" s="24" t="str">
        <x:v>二级股权流动</x:v>
      </x:c>
      <x:c r="G156" s="24" t="str">
        <x:v>A核心</x:v>
      </x:c>
      <x:c r="H156" s="24" t="str">
        <x:v>INTEGER</x:v>
      </x:c>
      <x:c r="I156" s="24" t="str">
        <x:v>笔</x:v>
      </x:c>
      <x:c r="J156" s="24" t="str">
        <x:v>计算值</x:v>
      </x:c>
      <x:c r="K156" s="24" t="str">
        <x:v>VALID</x:v>
      </x:c>
      <x:c r="L156" s="24" t="n">
        <x:v>2</x:v>
      </x:c>
      <x:c r="M156" s="24" t="str">
        <x:v>VALID</x:v>
      </x:c>
      <x:c r="N156" s="24" t="str">
        <x:v>OBSERVED_OR_CALCULATED</x:v>
      </x:c>
      <x:c r="O156" s="24" t="str">
        <x:v>符合Stage 3计算门槛。</x:v>
      </x:c>
      <x:c r="P156" s="24" t="n">
        <x:v>0</x:v>
      </x:c>
      <x:c r="Q156" s="24"/>
      <x:c r="R156" s="24"/>
      <x:c r="S156" s="24" t="str">
        <x:v>按EQUITY_TRANSFER交易记录计数。</x:v>
      </x:c>
      <x:c r="T156" s="24" t="str">
        <x:v>TRX-688758-0003-01; TRX-688758-0004-01</x:v>
      </x:c>
      <x:c r="U156" s="24"/>
      <x:c r="V156" s="24" t="str">
        <x:v>FROZEN_UNCHANGED</x:v>
      </x:c>
      <x:c r="W156" s="24" t="n">
        <x:v>0</x:v>
      </x:c>
    </x:row>
    <x:row r="157" ht="52" customHeight="1">
      <x:c r="A157" s="24" t="str">
        <x:v>688758|CV025</x:v>
      </x:c>
      <x:c r="B157" s="24" t="str">
        <x:v>688758</x:v>
      </x:c>
      <x:c r="C157" s="24" t="str">
        <x:v>赛分科技</x:v>
      </x:c>
      <x:c r="D157" s="24" t="str">
        <x:v>CV025</x:v>
      </x:c>
      <x:c r="E157" s="24" t="str">
        <x:v>可核验股权转让对价下限</x:v>
      </x:c>
      <x:c r="F157" s="24" t="str">
        <x:v>二级股权流动</x:v>
      </x:c>
      <x:c r="G157" s="24" t="str">
        <x:v>A核心</x:v>
      </x:c>
      <x:c r="H157" s="24" t="str">
        <x:v>CONTINUOUS</x:v>
      </x:c>
      <x:c r="I157" s="24" t="str">
        <x:v>万元人民币</x:v>
      </x:c>
      <x:c r="J157" s="24" t="str">
        <x:v>标准化值+计算值</x:v>
      </x:c>
      <x:c r="K157" s="24" t="str">
        <x:v>VALID</x:v>
      </x:c>
      <x:c r="L157" s="24" t="n">
        <x:v>3000</x:v>
      </x:c>
      <x:c r="M157" s="24" t="str">
        <x:v>VALID</x:v>
      </x:c>
      <x:c r="N157" s="24" t="str">
        <x:v>OBSERVED_OR_CALCULATED</x:v>
      </x:c>
      <x:c r="O157" s="24" t="str">
        <x:v>符合Stage 3计算门槛。</x:v>
      </x:c>
      <x:c r="P157" s="24" t="n">
        <x:v>0</x:v>
      </x:c>
      <x:c r="Q157" s="24"/>
      <x:c r="R157" s="24"/>
      <x:c r="S157" s="24" t="str">
        <x:v>读取公司层冻结转让对价下限；状态=DISCLOSED_COMPLETE。</x:v>
      </x:c>
      <x:c r="T157" s="24" t="str">
        <x:v>companies:688758</x:v>
      </x:c>
      <x:c r="U157" s="24"/>
      <x:c r="V157" s="24" t="str">
        <x:v>FROZEN_UNCHANGED</x:v>
      </x:c>
      <x:c r="W157" s="24" t="n">
        <x:v>0</x:v>
      </x:c>
    </x:row>
    <x:row r="158" ht="52" customHeight="1">
      <x:c r="A158" s="24" t="str">
        <x:v>688758|CV026</x:v>
      </x:c>
      <x:c r="B158" s="24" t="str">
        <x:v>688758</x:v>
      </x:c>
      <x:c r="C158" s="24" t="str">
        <x:v>赛分科技</x:v>
      </x:c>
      <x:c r="D158" s="24" t="str">
        <x:v>CV026</x:v>
      </x:c>
      <x:c r="E158" s="24" t="str">
        <x:v>转让对价与融资金额比</x:v>
      </x:c>
      <x:c r="F158" s="24" t="str">
        <x:v>二级股权流动</x:v>
      </x:c>
      <x:c r="G158" s="24" t="str">
        <x:v>B扩展</x:v>
      </x:c>
      <x:c r="H158" s="24" t="str">
        <x:v>RATIO</x:v>
      </x:c>
      <x:c r="I158" s="24" t="str">
        <x:v>0–∞</x:v>
      </x:c>
      <x:c r="J158" s="24" t="str">
        <x:v>计算值</x:v>
      </x:c>
      <x:c r="K158" s="24" t="str">
        <x:v>VALID</x:v>
      </x:c>
      <x:c r="L158" s="24" t="n">
        <x:v>0.04054054054054054</x:v>
      </x:c>
      <x:c r="M158" s="24" t="str">
        <x:v>VALID</x:v>
      </x:c>
      <x:c r="N158" s="24" t="str">
        <x:v>OBSERVED_OR_CALCULATED</x:v>
      </x:c>
      <x:c r="O158" s="24" t="str">
        <x:v>符合Stage 3计算门槛。</x:v>
      </x:c>
      <x:c r="P158" s="24" t="n">
        <x:v>0</x:v>
      </x:c>
      <x:c r="Q158" s="24"/>
      <x:c r="R158" s="24"/>
      <x:c r="S158" s="24" t="str">
        <x:v>转让对价下限/融资金额下限；两类金额未相加。</x:v>
      </x:c>
      <x:c r="T158" s="24" t="str">
        <x:v>companies:688758</x:v>
      </x:c>
      <x:c r="U158" s="24"/>
      <x:c r="V158" s="24" t="str">
        <x:v>FROZEN_UNCHANGED</x:v>
      </x:c>
      <x:c r="W158" s="24" t="n">
        <x:v>0</x:v>
      </x:c>
    </x:row>
    <x:row r="159" ht="52" customHeight="1">
      <x:c r="A159" s="24" t="str">
        <x:v>688758|CV027</x:v>
      </x:c>
      <x:c r="B159" s="24" t="str">
        <x:v>688758</x:v>
      </x:c>
      <x:c r="C159" s="24" t="str">
        <x:v>赛分科技</x:v>
      </x:c>
      <x:c r="D159" s="24" t="str">
        <x:v>CV027</x:v>
      </x:c>
      <x:c r="E159" s="24" t="str">
        <x:v>金额已知融资轮数</x:v>
      </x:c>
      <x:c r="F159" s="24" t="str">
        <x:v>数据可用性</x:v>
      </x:c>
      <x:c r="G159" s="24" t="str">
        <x:v>Q质量</x:v>
      </x:c>
      <x:c r="H159" s="24" t="str">
        <x:v>INTEGER</x:v>
      </x:c>
      <x:c r="I159" s="24" t="str">
        <x:v>轮</x:v>
      </x:c>
      <x:c r="J159" s="24" t="str">
        <x:v>计算值</x:v>
      </x:c>
      <x:c r="K159" s="24" t="str">
        <x:v>VALID</x:v>
      </x:c>
      <x:c r="L159" s="24" t="n">
        <x:v>3</x:v>
      </x:c>
      <x:c r="M159" s="24" t="str">
        <x:v>VALID</x:v>
      </x:c>
      <x:c r="N159" s="24" t="str">
        <x:v>OBSERVED_OR_CALCULATED</x:v>
      </x:c>
      <x:c r="O159" s="24" t="str">
        <x:v>符合Stage 3计算门槛。</x:v>
      </x:c>
      <x:c r="P159" s="24" t="n">
        <x:v>0</x:v>
      </x:c>
      <x:c r="Q159" s="24"/>
      <x:c r="R159" s="24"/>
      <x:c r="S159" s="24" t="str">
        <x:v>融资轮中金额非null记录数。</x:v>
      </x:c>
      <x:c r="T159" s="24" t="str">
        <x:v>EVT-688758-0003; EVT-688758-0005; EVT-688758-0006</x:v>
      </x:c>
      <x:c r="U159" s="24"/>
      <x:c r="V159" s="24" t="str">
        <x:v>FROZEN_UNCHANGED</x:v>
      </x:c>
      <x:c r="W159" s="24" t="n">
        <x:v>0</x:v>
      </x:c>
    </x:row>
    <x:row r="160" ht="52" customHeight="1">
      <x:c r="A160" s="24" t="str">
        <x:v>688758|CV028</x:v>
      </x:c>
      <x:c r="B160" s="24" t="str">
        <x:v>688758</x:v>
      </x:c>
      <x:c r="C160" s="24" t="str">
        <x:v>赛分科技</x:v>
      </x:c>
      <x:c r="D160" s="24" t="str">
        <x:v>CV028</x:v>
      </x:c>
      <x:c r="E160" s="24" t="str">
        <x:v>融资轮金额覆盖率</x:v>
      </x:c>
      <x:c r="F160" s="24" t="str">
        <x:v>数据可用性</x:v>
      </x:c>
      <x:c r="G160" s="24" t="str">
        <x:v>Q质量</x:v>
      </x:c>
      <x:c r="H160" s="24" t="str">
        <x:v>RATIO</x:v>
      </x:c>
      <x:c r="I160" s="24" t="str">
        <x:v>0–1</x:v>
      </x:c>
      <x:c r="J160" s="24" t="str">
        <x:v>计算值</x:v>
      </x:c>
      <x:c r="K160" s="24" t="str">
        <x:v>VALID</x:v>
      </x:c>
      <x:c r="L160" s="24" t="n">
        <x:v>1</x:v>
      </x:c>
      <x:c r="M160" s="24" t="str">
        <x:v>VALID</x:v>
      </x:c>
      <x:c r="N160" s="24" t="str">
        <x:v>OBSERVED_OR_CALCULATED</x:v>
      </x:c>
      <x:c r="O160" s="24" t="str">
        <x:v>符合Stage 3计算门槛。</x:v>
      </x:c>
      <x:c r="P160" s="24" t="n">
        <x:v>0</x:v>
      </x:c>
      <x:c r="Q160" s="24"/>
      <x:c r="R160" s="24"/>
      <x:c r="S160" s="24" t="str">
        <x:v>金额非null融资轮数/融资轮总数。</x:v>
      </x:c>
      <x:c r="T160" s="24" t="str">
        <x:v>EVT-688758-0003; EVT-688758-0005; EVT-688758-0006</x:v>
      </x:c>
      <x:c r="U160" s="24"/>
      <x:c r="V160" s="24" t="str">
        <x:v>FROZEN_UNCHANGED</x:v>
      </x:c>
      <x:c r="W160" s="24" t="n">
        <x:v>0</x:v>
      </x:c>
    </x:row>
    <x:row r="161" ht="52" customHeight="1">
      <x:c r="A161" s="24" t="str">
        <x:v>688758|CV029</x:v>
      </x:c>
      <x:c r="B161" s="24" t="str">
        <x:v>688758</x:v>
      </x:c>
      <x:c r="C161" s="24" t="str">
        <x:v>赛分科技</x:v>
      </x:c>
      <x:c r="D161" s="24" t="str">
        <x:v>CV029</x:v>
      </x:c>
      <x:c r="E161" s="24" t="str">
        <x:v>融资轮日期覆盖率</x:v>
      </x:c>
      <x:c r="F161" s="24" t="str">
        <x:v>数据可用性</x:v>
      </x:c>
      <x:c r="G161" s="24" t="str">
        <x:v>Q质量</x:v>
      </x:c>
      <x:c r="H161" s="24" t="str">
        <x:v>RATIO</x:v>
      </x:c>
      <x:c r="I161" s="24" t="str">
        <x:v>0–1</x:v>
      </x:c>
      <x:c r="J161" s="24" t="str">
        <x:v>计算值</x:v>
      </x:c>
      <x:c r="K161" s="24" t="str">
        <x:v>VALID</x:v>
      </x:c>
      <x:c r="L161" s="24" t="n">
        <x:v>1</x:v>
      </x:c>
      <x:c r="M161" s="24" t="str">
        <x:v>VALID</x:v>
      </x:c>
      <x:c r="N161" s="24" t="str">
        <x:v>OBSERVED_OR_CALCULATED</x:v>
      </x:c>
      <x:c r="O161" s="24" t="str">
        <x:v>符合Stage 3计算门槛。</x:v>
      </x:c>
      <x:c r="P161" s="24" t="n">
        <x:v>0</x:v>
      </x:c>
      <x:c r="Q161" s="24"/>
      <x:c r="R161" s="24"/>
      <x:c r="S161" s="24" t="str">
        <x:v>DAY或MONTH精度融资轮数/融资轮总数。</x:v>
      </x:c>
      <x:c r="T161" s="24" t="str">
        <x:v>EVT-688758-0003; EVT-688758-0005; EVT-688758-0006</x:v>
      </x:c>
      <x:c r="U161" s="24"/>
      <x:c r="V161" s="24" t="str">
        <x:v>FROZEN_UNCHANGED</x:v>
      </x:c>
      <x:c r="W161" s="24" t="n">
        <x:v>0</x:v>
      </x:c>
    </x:row>
    <x:row r="162" ht="52" customHeight="1">
      <x:c r="A162" s="24" t="str">
        <x:v>688758|CV030</x:v>
      </x:c>
      <x:c r="B162" s="24" t="str">
        <x:v>688758</x:v>
      </x:c>
      <x:c r="C162" s="24" t="str">
        <x:v>赛分科技</x:v>
      </x:c>
      <x:c r="D162" s="24" t="str">
        <x:v>CV030</x:v>
      </x:c>
      <x:c r="E162" s="24" t="str">
        <x:v>计算型轮次金额占比</x:v>
      </x:c>
      <x:c r="F162" s="24" t="str">
        <x:v>数值来源结构</x:v>
      </x:c>
      <x:c r="G162" s="24" t="str">
        <x:v>Q质量</x:v>
      </x:c>
      <x:c r="H162" s="24" t="str">
        <x:v>RATIO</x:v>
      </x:c>
      <x:c r="I162" s="24" t="str">
        <x:v>0–1</x:v>
      </x:c>
      <x:c r="J162" s="24" t="str">
        <x:v>计算值</x:v>
      </x:c>
      <x:c r="K162" s="24" t="str">
        <x:v>VALID</x:v>
      </x:c>
      <x:c r="L162" s="24" t="n">
        <x:v>0</x:v>
      </x:c>
      <x:c r="M162" s="24" t="str">
        <x:v>VALID</x:v>
      </x:c>
      <x:c r="N162" s="24" t="str">
        <x:v>OBSERVED_OR_CALCULATED</x:v>
      </x:c>
      <x:c r="O162" s="24" t="str">
        <x:v>符合Stage 3计算门槛。</x:v>
      </x:c>
      <x:c r="P162" s="24" t="n">
        <x:v>1</x:v>
      </x:c>
      <x:c r="Q162" s="24"/>
      <x:c r="R162" s="24"/>
      <x:c r="S162" s="24" t="str">
        <x:v>CALCULATED已知金额轮数/已知金额轮数。</x:v>
      </x:c>
      <x:c r="T162" s="24" t="str">
        <x:v>EVT-688758-0003; EVT-688758-0005; EVT-688758-0006</x:v>
      </x:c>
      <x:c r="U162" s="24"/>
      <x:c r="V162" s="24" t="str">
        <x:v>FROZEN_UNCHANGED</x:v>
      </x:c>
      <x:c r="W162" s="24" t="n">
        <x:v>0</x:v>
      </x:c>
    </x:row>
    <x:row r="163" ht="52" customHeight="1">
      <x:c r="A163" s="24" t="str">
        <x:v>688758|CV031</x:v>
      </x:c>
      <x:c r="B163" s="24" t="str">
        <x:v>688758</x:v>
      </x:c>
      <x:c r="C163" s="24" t="str">
        <x:v>赛分科技</x:v>
      </x:c>
      <x:c r="D163" s="24" t="str">
        <x:v>CV031</x:v>
      </x:c>
      <x:c r="E163" s="24" t="str">
        <x:v>每轮融资证据记录数</x:v>
      </x:c>
      <x:c r="F163" s="24" t="str">
        <x:v>证据密度</x:v>
      </x:c>
      <x:c r="G163" s="24" t="str">
        <x:v>Q质量</x:v>
      </x:c>
      <x:c r="H163" s="24" t="str">
        <x:v>RATIO</x:v>
      </x:c>
      <x:c r="I163" s="24" t="str">
        <x:v>条/轮</x:v>
      </x:c>
      <x:c r="J163" s="24" t="str">
        <x:v>计算值</x:v>
      </x:c>
      <x:c r="K163" s="24" t="str">
        <x:v>VALID</x:v>
      </x:c>
      <x:c r="L163" s="24" t="n">
        <x:v>1</x:v>
      </x:c>
      <x:c r="M163" s="24" t="str">
        <x:v>VALID</x:v>
      </x:c>
      <x:c r="N163" s="24" t="str">
        <x:v>OBSERVED_OR_CALCULATED</x:v>
      </x:c>
      <x:c r="O163" s="24" t="str">
        <x:v>符合Stage 3计算门槛。</x:v>
      </x:c>
      <x:c r="P163" s="24" t="n">
        <x:v>0</x:v>
      </x:c>
      <x:c r="Q163" s="24"/>
      <x:c r="R163" s="24"/>
      <x:c r="S163" s="24" t="str">
        <x:v>关联融资轮的去重evidence_id数/融资轮数。</x:v>
      </x:c>
      <x:c r="T163" s="24" t="str">
        <x:v>EVD-688758-0003-01; EVD-688758-0005-01; EVD-688758-0006-01</x:v>
      </x:c>
      <x:c r="U163" s="24"/>
      <x:c r="V163" s="24" t="str">
        <x:v>FROZEN_UNCHANGED</x:v>
      </x:c>
      <x:c r="W163" s="24" t="n">
        <x:v>0</x:v>
      </x:c>
    </x:row>
    <x:row r="164" ht="52" customHeight="1">
      <x:c r="A164" s="24" t="str">
        <x:v>688758|CV032</x:v>
      </x:c>
      <x:c r="B164" s="24" t="str">
        <x:v>688758</x:v>
      </x:c>
      <x:c r="C164" s="24" t="str">
        <x:v>赛分科技</x:v>
      </x:c>
      <x:c r="D164" s="24" t="str">
        <x:v>CV032</x:v>
      </x:c>
      <x:c r="E164" s="24" t="str">
        <x:v>公司级披露限制标记</x:v>
      </x:c>
      <x:c r="F164" s="24" t="str">
        <x:v>披露边界</x:v>
      </x:c>
      <x:c r="G164" s="24" t="str">
        <x:v>Q质量</x:v>
      </x:c>
      <x:c r="H164" s="24" t="str">
        <x:v>BINARY</x:v>
      </x:c>
      <x:c r="I164" s="24" t="str">
        <x:v>0/1</x:v>
      </x:c>
      <x:c r="J164" s="24" t="str">
        <x:v>研究判断派生</x:v>
      </x:c>
      <x:c r="K164" s="24" t="str">
        <x:v>VALID</x:v>
      </x:c>
      <x:c r="L164" s="24" t="n">
        <x:v>0</x:v>
      </x:c>
      <x:c r="M164" s="24" t="str">
        <x:v>VALID</x:v>
      </x:c>
      <x:c r="N164" s="24" t="str">
        <x:v>OBSERVED_OR_CALCULATED</x:v>
      </x:c>
      <x:c r="O164" s="24" t="str">
        <x:v>符合Stage 3计算门槛。</x:v>
      </x:c>
      <x:c r="P164" s="24" t="n">
        <x:v>1</x:v>
      </x:c>
      <x:c r="Q164" s="24"/>
      <x:c r="R164" s="24"/>
      <x:c r="S164" s="24" t="str">
        <x:v>FINAL_APPROVED公司记录中检查disclosure_limitation是否非空。</x:v>
      </x:c>
      <x:c r="T164" s="24" t="str">
        <x:v>companies:688758</x:v>
      </x:c>
      <x:c r="U164" s="24"/>
      <x:c r="V164" s="24" t="str">
        <x:v>FROZEN_UNCHANGED</x:v>
      </x:c>
      <x:c r="W164" s="24" t="n">
        <x:v>0</x:v>
      </x:c>
    </x:row>
    <x:row r="165" ht="52" customHeight="1">
      <x:c r="A165" s="24" t="str">
        <x:v>688775|CV001</x:v>
      </x:c>
      <x:c r="B165" s="24" t="str">
        <x:v>688775</x:v>
      </x:c>
      <x:c r="C165" s="24" t="str">
        <x:v>影石创新</x:v>
      </x:c>
      <x:c r="D165" s="24" t="str">
        <x:v>CV001</x:v>
      </x:c>
      <x:c r="E165" s="24" t="str">
        <x:v>上市前直接股权融资发生标记</x:v>
      </x:c>
      <x:c r="F165" s="24" t="str">
        <x:v>融资经历</x:v>
      </x:c>
      <x:c r="G165" s="24" t="str">
        <x:v>A核心</x:v>
      </x:c>
      <x:c r="H165" s="24" t="str">
        <x:v>BINARY</x:v>
      </x:c>
      <x:c r="I165" s="24" t="str">
        <x:v>0/1</x:v>
      </x:c>
      <x:c r="J165" s="24" t="str">
        <x:v>研究判断派生</x:v>
      </x:c>
      <x:c r="K165" s="24" t="str">
        <x:v>VALID</x:v>
      </x:c>
      <x:c r="L165" s="24" t="n">
        <x:v>0</x:v>
      </x:c>
      <x:c r="M165" s="24" t="str">
        <x:v>VALID</x:v>
      </x:c>
      <x:c r="N165" s="24" t="str">
        <x:v>OBSERVED_OR_CALCULATED</x:v>
      </x:c>
      <x:c r="O165" s="24" t="str">
        <x:v>符合Stage 3计算门槛。</x:v>
      </x:c>
      <x:c r="P165" s="24" t="n">
        <x:v>1</x:v>
      </x:c>
      <x:c r="Q165" s="24" t="str">
        <x:v>HISTORICAL_NOT_RECONSTRUCTIBLE</x:v>
      </x:c>
      <x:c r="R165" s="24" t="str">
        <x:v>早期融资轮次未逐轮披露</x:v>
      </x:c>
      <x:c r="S165" s="24" t="str">
        <x:v>financing_round_count=0，据此生成二元标记。</x:v>
      </x:c>
      <x:c r="T165" s="24" t="str">
        <x:v>companies:688775</x:v>
      </x:c>
      <x:c r="U165" s="24"/>
      <x:c r="V165" s="24" t="str">
        <x:v>FROZEN_UNCHANGED</x:v>
      </x:c>
      <x:c r="W165" s="24" t="n">
        <x:v>1</x:v>
      </x:c>
    </x:row>
    <x:row r="166" ht="52" customHeight="1">
      <x:c r="A166" s="24" t="str">
        <x:v>688775|CV002</x:v>
      </x:c>
      <x:c r="B166" s="24" t="str">
        <x:v>688775</x:v>
      </x:c>
      <x:c r="C166" s="24" t="str">
        <x:v>影石创新</x:v>
      </x:c>
      <x:c r="D166" s="24" t="str">
        <x:v>CV002</x:v>
      </x:c>
      <x:c r="E166" s="24" t="str">
        <x:v>上市前直接股权融资轮数</x:v>
      </x:c>
      <x:c r="F166" s="24" t="str">
        <x:v>融资频度</x:v>
      </x:c>
      <x:c r="G166" s="24" t="str">
        <x:v>A核心</x:v>
      </x:c>
      <x:c r="H166" s="24" t="str">
        <x:v>INTEGER</x:v>
      </x:c>
      <x:c r="I166" s="24" t="str">
        <x:v>轮</x:v>
      </x:c>
      <x:c r="J166" s="24" t="str">
        <x:v>研究判断</x:v>
      </x:c>
      <x:c r="K166" s="24" t="str">
        <x:v>VALID</x:v>
      </x:c>
      <x:c r="L166" s="24" t="n">
        <x:v>0</x:v>
      </x:c>
      <x:c r="M166" s="24" t="str">
        <x:v>VALID</x:v>
      </x:c>
      <x:c r="N166" s="24" t="str">
        <x:v>OBSERVED_OR_CALCULATED</x:v>
      </x:c>
      <x:c r="O166" s="24" t="str">
        <x:v>符合Stage 3计算门槛。</x:v>
      </x:c>
      <x:c r="P166" s="24" t="n">
        <x:v>1</x:v>
      </x:c>
      <x:c r="Q166" s="24" t="str">
        <x:v>HISTORICAL_NOT_RECONSTRUCTIBLE</x:v>
      </x:c>
      <x:c r="R166" s="24" t="str">
        <x:v>早期融资轮次未逐轮披露</x:v>
      </x:c>
      <x:c r="S166" s="24" t="str">
        <x:v>公司冻结轮次=0；事件层TRUE计数=0。</x:v>
      </x:c>
      <x:c r="T166" s="24" t="str">
        <x:v>companies:688775</x:v>
      </x:c>
      <x:c r="U166" s="24"/>
      <x:c r="V166" s="24" t="str">
        <x:v>FROZEN_UNCHANGED</x:v>
      </x:c>
      <x:c r="W166" s="24" t="n">
        <x:v>1</x:v>
      </x:c>
    </x:row>
    <x:row r="167" ht="52" customHeight="1">
      <x:c r="A167" s="24" t="str">
        <x:v>688775|CV003</x:v>
      </x:c>
      <x:c r="B167" s="24" t="str">
        <x:v>688775</x:v>
      </x:c>
      <x:c r="C167" s="24" t="str">
        <x:v>影石创新</x:v>
      </x:c>
      <x:c r="D167" s="24" t="str">
        <x:v>CV003</x:v>
      </x:c>
      <x:c r="E167" s="24" t="str">
        <x:v>可核验融资金额下限</x:v>
      </x:c>
      <x:c r="F167" s="24" t="str">
        <x:v>融资规模</x:v>
      </x:c>
      <x:c r="G167" s="24" t="str">
        <x:v>A核心</x:v>
      </x:c>
      <x:c r="H167" s="24" t="str">
        <x:v>CONTINUOUS</x:v>
      </x:c>
      <x:c r="I167" s="24" t="str">
        <x:v>万元人民币</x:v>
      </x:c>
      <x:c r="J167" s="24" t="str">
        <x:v>标准化值+计算值</x:v>
      </x:c>
      <x:c r="K167" s="24" t="str">
        <x:v>NOT_COMPUTABLE</x:v>
      </x:c>
      <x:c r="L167" s="24"/>
      <x:c r="M167" s="24" t="str">
        <x:v>NOT_COMPUTABLE</x:v>
      </x:c>
      <x:c r="N167" s="24" t="str">
        <x:v>UPSTREAM_FINANCING_AMOUNT_NULL</x:v>
      </x:c>
      <x:c r="O167" s="24" t="str">
        <x:v>公司层融资金额为空，状态=HISTORICAL_NOT_RECONSTRUCTIBLE。</x:v>
      </x:c>
      <x:c r="P167" s="24" t="n">
        <x:v>0</x:v>
      </x:c>
      <x:c r="Q167" s="24"/>
      <x:c r="R167" s="24"/>
      <x:c r="S167" s="24" t="str">
        <x:v>严格保留上游null，不补0。</x:v>
      </x:c>
      <x:c r="T167" s="24" t="str">
        <x:v>companies:688775</x:v>
      </x:c>
      <x:c r="U167" s="24"/>
      <x:c r="V167" s="24" t="str">
        <x:v>FROZEN_UNCHANGED</x:v>
      </x:c>
      <x:c r="W167" s="24" t="n">
        <x:v>0</x:v>
      </x:c>
    </x:row>
    <x:row r="168" ht="52" customHeight="1">
      <x:c r="A168" s="24" t="str">
        <x:v>688775|CV004</x:v>
      </x:c>
      <x:c r="B168" s="24" t="str">
        <x:v>688775</x:v>
      </x:c>
      <x:c r="C168" s="24" t="str">
        <x:v>影石创新</x:v>
      </x:c>
      <x:c r="D168" s="24" t="str">
        <x:v>CV004</x:v>
      </x:c>
      <x:c r="E168" s="24" t="str">
        <x:v>融资金额下限对数</x:v>
      </x:c>
      <x:c r="F168" s="24" t="str">
        <x:v>融资规模</x:v>
      </x:c>
      <x:c r="G168" s="24" t="str">
        <x:v>B扩展</x:v>
      </x:c>
      <x:c r="H168" s="24" t="str">
        <x:v>CONTINUOUS</x:v>
      </x:c>
      <x:c r="I168" s="24" t="str">
        <x:v>ln(1+万元)</x:v>
      </x:c>
      <x:c r="J168" s="24" t="str">
        <x:v>计算值</x:v>
      </x:c>
      <x:c r="K168" s="24" t="str">
        <x:v>NOT_COMPUTABLE</x:v>
      </x:c>
      <x:c r="L168" s="24"/>
      <x:c r="M168" s="24" t="str">
        <x:v>NOT_COMPUTABLE</x:v>
      </x:c>
      <x:c r="N168" s="24" t="str">
        <x:v>UPSTREAM_FINANCING_AMOUNT_NULL</x:v>
      </x:c>
      <x:c r="O168" s="24" t="str">
        <x:v>原始融资金额为空，无法执行ln(1+x)。</x:v>
      </x:c>
      <x:c r="P168" s="24" t="n">
        <x:v>0</x:v>
      </x:c>
      <x:c r="Q168" s="24"/>
      <x:c r="R168" s="24"/>
      <x:c r="S168" s="24" t="str">
        <x:v>对数变量继承CV003的null。</x:v>
      </x:c>
      <x:c r="T168" s="24" t="str">
        <x:v>companies:688775</x:v>
      </x:c>
      <x:c r="U168" s="24"/>
      <x:c r="V168" s="24" t="str">
        <x:v>FROZEN_UNCHANGED</x:v>
      </x:c>
      <x:c r="W168" s="24" t="n">
        <x:v>0</x:v>
      </x:c>
    </x:row>
    <x:row r="169" ht="52" customHeight="1">
      <x:c r="A169" s="24" t="str">
        <x:v>688775|CV005</x:v>
      </x:c>
      <x:c r="B169" s="24" t="str">
        <x:v>688775</x:v>
      </x:c>
      <x:c r="C169" s="24" t="str">
        <x:v>影石创新</x:v>
      </x:c>
      <x:c r="D169" s="24" t="str">
        <x:v>CV005</x:v>
      </x:c>
      <x:c r="E169" s="24" t="str">
        <x:v>已知金额轮次均值</x:v>
      </x:c>
      <x:c r="F169" s="24" t="str">
        <x:v>单轮融资规模</x:v>
      </x:c>
      <x:c r="G169" s="24" t="str">
        <x:v>A核心</x:v>
      </x:c>
      <x:c r="H169" s="24" t="str">
        <x:v>CONTINUOUS</x:v>
      </x:c>
      <x:c r="I169" s="24" t="str">
        <x:v>万元人民币/已知轮</x:v>
      </x:c>
      <x:c r="J169" s="24" t="str">
        <x:v>计算值</x:v>
      </x:c>
      <x:c r="K169" s="24" t="str">
        <x:v>STRUCTURAL_NA</x:v>
      </x:c>
      <x:c r="L169" s="24"/>
      <x:c r="M169" s="24" t="str">
        <x:v>STRUCTURAL_NA</x:v>
      </x:c>
      <x:c r="N169" s="24" t="str">
        <x:v>STRUCTURAL_NA_NO_FINANCING_ROUNDS</x:v>
      </x:c>
      <x:c r="O169" s="24" t="str">
        <x:v>冻结口径下融资轮数为0。</x:v>
      </x:c>
      <x:c r="P169" s="24" t="n">
        <x:v>0</x:v>
      </x:c>
      <x:c r="Q169" s="24"/>
      <x:c r="R169" s="24"/>
      <x:c r="S169" s="24" t="str">
        <x:v>已知轮次金额均值不适用。</x:v>
      </x:c>
      <x:c r="T169" s="24" t="str">
        <x:v>companies:688775</x:v>
      </x:c>
      <x:c r="U169" s="24"/>
      <x:c r="V169" s="24" t="str">
        <x:v>FROZEN_UNCHANGED</x:v>
      </x:c>
      <x:c r="W169" s="24" t="n">
        <x:v>0</x:v>
      </x:c>
    </x:row>
    <x:row r="170" ht="52" customHeight="1">
      <x:c r="A170" s="24" t="str">
        <x:v>688775|CV006</x:v>
      </x:c>
      <x:c r="B170" s="24" t="str">
        <x:v>688775</x:v>
      </x:c>
      <x:c r="C170" s="24" t="str">
        <x:v>影石创新</x:v>
      </x:c>
      <x:c r="D170" s="24" t="str">
        <x:v>CV006</x:v>
      </x:c>
      <x:c r="E170" s="24" t="str">
        <x:v>已知金额轮次中位数</x:v>
      </x:c>
      <x:c r="F170" s="24" t="str">
        <x:v>单轮融资规模</x:v>
      </x:c>
      <x:c r="G170" s="24" t="str">
        <x:v>B扩展</x:v>
      </x:c>
      <x:c r="H170" s="24" t="str">
        <x:v>CONTINUOUS</x:v>
      </x:c>
      <x:c r="I170" s="24" t="str">
        <x:v>万元人民币/已知轮</x:v>
      </x:c>
      <x:c r="J170" s="24" t="str">
        <x:v>计算值</x:v>
      </x:c>
      <x:c r="K170" s="24" t="str">
        <x:v>STRUCTURAL_NA</x:v>
      </x:c>
      <x:c r="L170" s="24"/>
      <x:c r="M170" s="24" t="str">
        <x:v>STRUCTURAL_NA</x:v>
      </x:c>
      <x:c r="N170" s="24" t="str">
        <x:v>STRUCTURAL_NA_NO_FINANCING_ROUNDS</x:v>
      </x:c>
      <x:c r="O170" s="24" t="str">
        <x:v>冻结口径下融资轮数为0。</x:v>
      </x:c>
      <x:c r="P170" s="24" t="n">
        <x:v>0</x:v>
      </x:c>
      <x:c r="Q170" s="24"/>
      <x:c r="R170" s="24"/>
      <x:c r="S170" s="24" t="str">
        <x:v>已知轮次金额中位数不适用。</x:v>
      </x:c>
      <x:c r="T170" s="24" t="str">
        <x:v>companies:688775</x:v>
      </x:c>
      <x:c r="U170" s="24"/>
      <x:c r="V170" s="24" t="str">
        <x:v>FROZEN_UNCHANGED</x:v>
      </x:c>
      <x:c r="W170" s="24" t="n">
        <x:v>0</x:v>
      </x:c>
    </x:row>
    <x:row r="171" ht="52" customHeight="1">
      <x:c r="A171" s="24" t="str">
        <x:v>688775|CV007</x:v>
      </x:c>
      <x:c r="B171" s="24" t="str">
        <x:v>688775</x:v>
      </x:c>
      <x:c r="C171" s="24" t="str">
        <x:v>影石创新</x:v>
      </x:c>
      <x:c r="D171" s="24" t="str">
        <x:v>CV007</x:v>
      </x:c>
      <x:c r="E171" s="24" t="str">
        <x:v>最大已知单轮融资金额</x:v>
      </x:c>
      <x:c r="F171" s="24" t="str">
        <x:v>融资峰值</x:v>
      </x:c>
      <x:c r="G171" s="24" t="str">
        <x:v>B扩展</x:v>
      </x:c>
      <x:c r="H171" s="24" t="str">
        <x:v>CONTINUOUS</x:v>
      </x:c>
      <x:c r="I171" s="24" t="str">
        <x:v>万元人民币</x:v>
      </x:c>
      <x:c r="J171" s="24" t="str">
        <x:v>计算值</x:v>
      </x:c>
      <x:c r="K171" s="24" t="str">
        <x:v>STRUCTURAL_NA</x:v>
      </x:c>
      <x:c r="L171" s="24"/>
      <x:c r="M171" s="24" t="str">
        <x:v>STRUCTURAL_NA</x:v>
      </x:c>
      <x:c r="N171" s="24" t="str">
        <x:v>STRUCTURAL_NA_NO_FINANCING_ROUNDS</x:v>
      </x:c>
      <x:c r="O171" s="24" t="str">
        <x:v>冻结口径下融资轮数为0。</x:v>
      </x:c>
      <x:c r="P171" s="24" t="n">
        <x:v>0</x:v>
      </x:c>
      <x:c r="Q171" s="24"/>
      <x:c r="R171" s="24"/>
      <x:c r="S171" s="24" t="str">
        <x:v>最大已知轮次金额不适用。</x:v>
      </x:c>
      <x:c r="T171" s="24" t="str">
        <x:v>companies:688775</x:v>
      </x:c>
      <x:c r="U171" s="24"/>
      <x:c r="V171" s="24" t="str">
        <x:v>FROZEN_UNCHANGED</x:v>
      </x:c>
      <x:c r="W171" s="24" t="n">
        <x:v>0</x:v>
      </x:c>
    </x:row>
    <x:row r="172" ht="52" customHeight="1">
      <x:c r="A172" s="24" t="str">
        <x:v>688775|CV008</x:v>
      </x:c>
      <x:c r="B172" s="24" t="str">
        <x:v>688775</x:v>
      </x:c>
      <x:c r="C172" s="24" t="str">
        <x:v>影石创新</x:v>
      </x:c>
      <x:c r="D172" s="24" t="str">
        <x:v>CV008</x:v>
      </x:c>
      <x:c r="E172" s="24" t="str">
        <x:v>最大已知轮金额占比</x:v>
      </x:c>
      <x:c r="F172" s="24" t="str">
        <x:v>融资集中度</x:v>
      </x:c>
      <x:c r="G172" s="24" t="str">
        <x:v>B扩展</x:v>
      </x:c>
      <x:c r="H172" s="24" t="str">
        <x:v>RATIO</x:v>
      </x:c>
      <x:c r="I172" s="24" t="str">
        <x:v>0–1</x:v>
      </x:c>
      <x:c r="J172" s="24" t="str">
        <x:v>计算值</x:v>
      </x:c>
      <x:c r="K172" s="24" t="str">
        <x:v>STRUCTURAL_NA</x:v>
      </x:c>
      <x:c r="L172" s="24"/>
      <x:c r="M172" s="24" t="str">
        <x:v>STRUCTURAL_NA</x:v>
      </x:c>
      <x:c r="N172" s="24" t="str">
        <x:v>STRUCTURAL_NA_NO_FINANCING_ROUNDS</x:v>
      </x:c>
      <x:c r="O172" s="24" t="str">
        <x:v>冻结口径下融资轮数为0。</x:v>
      </x:c>
      <x:c r="P172" s="24" t="n">
        <x:v>0</x:v>
      </x:c>
      <x:c r="Q172" s="24"/>
      <x:c r="R172" s="24"/>
      <x:c r="S172" s="24" t="str">
        <x:v>最大轮金额占比不适用。</x:v>
      </x:c>
      <x:c r="T172" s="24" t="str">
        <x:v>companies:688775</x:v>
      </x:c>
      <x:c r="U172" s="24"/>
      <x:c r="V172" s="24" t="str">
        <x:v>FROZEN_UNCHANGED</x:v>
      </x:c>
      <x:c r="W172" s="24" t="n">
        <x:v>0</x:v>
      </x:c>
    </x:row>
    <x:row r="173" ht="52" customHeight="1">
      <x:c r="A173" s="24" t="str">
        <x:v>688775|CV009</x:v>
      </x:c>
      <x:c r="B173" s="24" t="str">
        <x:v>688775</x:v>
      </x:c>
      <x:c r="C173" s="24" t="str">
        <x:v>影石创新</x:v>
      </x:c>
      <x:c r="D173" s="24" t="str">
        <x:v>CV009</x:v>
      </x:c>
      <x:c r="E173" s="24" t="str">
        <x:v>融资时间跨度</x:v>
      </x:c>
      <x:c r="F173" s="24" t="str">
        <x:v>融资节奏</x:v>
      </x:c>
      <x:c r="G173" s="24" t="str">
        <x:v>A核心</x:v>
      </x:c>
      <x:c r="H173" s="24" t="str">
        <x:v>CONTINUOUS</x:v>
      </x:c>
      <x:c r="I173" s="24" t="str">
        <x:v>月</x:v>
      </x:c>
      <x:c r="J173" s="24" t="str">
        <x:v>计算值</x:v>
      </x:c>
      <x:c r="K173" s="24" t="str">
        <x:v>STRUCTURAL_NA</x:v>
      </x:c>
      <x:c r="L173" s="24"/>
      <x:c r="M173" s="24" t="str">
        <x:v>STRUCTURAL_NA</x:v>
      </x:c>
      <x:c r="N173" s="24" t="str">
        <x:v>STRUCTURAL_NA_FEWER_THAN_2_ROUNDS</x:v>
      </x:c>
      <x:c r="O173" s="24" t="str">
        <x:v>融资轮数=0，少于2轮。</x:v>
      </x:c>
      <x:c r="P173" s="24" t="n">
        <x:v>0</x:v>
      </x:c>
      <x:c r="Q173" s="24"/>
      <x:c r="R173" s="24"/>
      <x:c r="S173" s="24" t="str">
        <x:v>融资时间跨度不适用。</x:v>
      </x:c>
      <x:c r="T173" s="24"/>
      <x:c r="U173" s="24"/>
      <x:c r="V173" s="24" t="str">
        <x:v>FROZEN_UNCHANGED</x:v>
      </x:c>
      <x:c r="W173" s="24" t="n">
        <x:v>0</x:v>
      </x:c>
    </x:row>
    <x:row r="174" ht="52" customHeight="1">
      <x:c r="A174" s="24" t="str">
        <x:v>688775|CV010</x:v>
      </x:c>
      <x:c r="B174" s="24" t="str">
        <x:v>688775</x:v>
      </x:c>
      <x:c r="C174" s="24" t="str">
        <x:v>影石创新</x:v>
      </x:c>
      <x:c r="D174" s="24" t="str">
        <x:v>CV010</x:v>
      </x:c>
      <x:c r="E174" s="24" t="str">
        <x:v>融资轮次间隔中位数</x:v>
      </x:c>
      <x:c r="F174" s="24" t="str">
        <x:v>融资节奏</x:v>
      </x:c>
      <x:c r="G174" s="24" t="str">
        <x:v>B扩展</x:v>
      </x:c>
      <x:c r="H174" s="24" t="str">
        <x:v>CONTINUOUS</x:v>
      </x:c>
      <x:c r="I174" s="24" t="str">
        <x:v>月</x:v>
      </x:c>
      <x:c r="J174" s="24" t="str">
        <x:v>计算值</x:v>
      </x:c>
      <x:c r="K174" s="24" t="str">
        <x:v>STRUCTURAL_NA</x:v>
      </x:c>
      <x:c r="L174" s="24"/>
      <x:c r="M174" s="24" t="str">
        <x:v>STRUCTURAL_NA</x:v>
      </x:c>
      <x:c r="N174" s="24" t="str">
        <x:v>STRUCTURAL_NA_FEWER_THAN_2_ROUNDS</x:v>
      </x:c>
      <x:c r="O174" s="24" t="str">
        <x:v>融资轮数=0，少于2轮。</x:v>
      </x:c>
      <x:c r="P174" s="24" t="n">
        <x:v>0</x:v>
      </x:c>
      <x:c r="Q174" s="24"/>
      <x:c r="R174" s="24"/>
      <x:c r="S174" s="24" t="str">
        <x:v>融资间隔中位数不适用。</x:v>
      </x:c>
      <x:c r="T174" s="24"/>
      <x:c r="U174" s="24"/>
      <x:c r="V174" s="24" t="str">
        <x:v>FROZEN_UNCHANGED</x:v>
      </x:c>
      <x:c r="W174" s="24" t="n">
        <x:v>0</x:v>
      </x:c>
    </x:row>
    <x:row r="175" ht="52" customHeight="1">
      <x:c r="A175" s="24" t="str">
        <x:v>688775|CV011</x:v>
      </x:c>
      <x:c r="B175" s="24" t="str">
        <x:v>688775</x:v>
      </x:c>
      <x:c r="C175" s="24" t="str">
        <x:v>影石创新</x:v>
      </x:c>
      <x:c r="D175" s="24" t="str">
        <x:v>CV011</x:v>
      </x:c>
      <x:c r="E175" s="24" t="str">
        <x:v>确认PE/VC参与标记</x:v>
      </x:c>
      <x:c r="F175" s="24" t="str">
        <x:v>PEVC参与</x:v>
      </x:c>
      <x:c r="G175" s="24" t="str">
        <x:v>A核心</x:v>
      </x:c>
      <x:c r="H175" s="24" t="str">
        <x:v>BINARY</x:v>
      </x:c>
      <x:c r="I175" s="24" t="str">
        <x:v>0/1</x:v>
      </x:c>
      <x:c r="J175" s="24" t="str">
        <x:v>研究判断派生</x:v>
      </x:c>
      <x:c r="K175" s="24" t="str">
        <x:v>VALID</x:v>
      </x:c>
      <x:c r="L175" s="24" t="n">
        <x:v>0</x:v>
      </x:c>
      <x:c r="M175" s="24" t="str">
        <x:v>VALID</x:v>
      </x:c>
      <x:c r="N175" s="24" t="str">
        <x:v>OBSERVED_OR_CALCULATED</x:v>
      </x:c>
      <x:c r="O175" s="24" t="str">
        <x:v>符合Stage 3计算门槛。</x:v>
      </x:c>
      <x:c r="P175" s="24" t="n">
        <x:v>1</x:v>
      </x:c>
      <x:c r="Q175" s="24"/>
      <x:c r="R175" s="24"/>
      <x:c r="S175" s="24" t="str">
        <x:v>confirmed_pevc_legal_entity_count=0。</x:v>
      </x:c>
      <x:c r="T175" s="24" t="str">
        <x:v>companies:688775</x:v>
      </x:c>
      <x:c r="U175" s="24"/>
      <x:c r="V175" s="24" t="str">
        <x:v>FROZEN_UNCHANGED</x:v>
      </x:c>
      <x:c r="W175" s="24" t="n">
        <x:v>0</x:v>
      </x:c>
    </x:row>
    <x:row r="176" ht="52" customHeight="1">
      <x:c r="A176" s="24" t="str">
        <x:v>688775|CV012</x:v>
      </x:c>
      <x:c r="B176" s="24" t="str">
        <x:v>688775</x:v>
      </x:c>
      <x:c r="C176" s="24" t="str">
        <x:v>影石创新</x:v>
      </x:c>
      <x:c r="D176" s="24" t="str">
        <x:v>CV012</x:v>
      </x:c>
      <x:c r="E176" s="24" t="str">
        <x:v>确认PE/VC法律主体数</x:v>
      </x:c>
      <x:c r="F176" s="24" t="str">
        <x:v>PEVC参与</x:v>
      </x:c>
      <x:c r="G176" s="24" t="str">
        <x:v>A核心</x:v>
      </x:c>
      <x:c r="H176" s="24" t="str">
        <x:v>INTEGER</x:v>
      </x:c>
      <x:c r="I176" s="24" t="str">
        <x:v>个</x:v>
      </x:c>
      <x:c r="J176" s="24" t="str">
        <x:v>计算值+研究判断</x:v>
      </x:c>
      <x:c r="K176" s="24" t="str">
        <x:v>VALID</x:v>
      </x:c>
      <x:c r="L176" s="24" t="n">
        <x:v>0</x:v>
      </x:c>
      <x:c r="M176" s="24" t="str">
        <x:v>VALID</x:v>
      </x:c>
      <x:c r="N176" s="24" t="str">
        <x:v>OBSERVED_OR_CALCULATED</x:v>
      </x:c>
      <x:c r="O176" s="24" t="str">
        <x:v>符合Stage 3计算门槛。</x:v>
      </x:c>
      <x:c r="P176" s="24" t="n">
        <x:v>1</x:v>
      </x:c>
      <x:c r="Q176" s="24"/>
      <x:c r="R176" s="24"/>
      <x:c r="S176" s="24" t="str">
        <x:v>读取公司层冻结确认PE/VC法律主体数。</x:v>
      </x:c>
      <x:c r="T176" s="24" t="str">
        <x:v>companies:688775</x:v>
      </x:c>
      <x:c r="U176" s="24"/>
      <x:c r="V176" s="24" t="str">
        <x:v>FROZEN_UNCHANGED</x:v>
      </x:c>
      <x:c r="W176" s="24" t="n">
        <x:v>0</x:v>
      </x:c>
    </x:row>
    <x:row r="177" ht="52" customHeight="1">
      <x:c r="A177" s="24" t="str">
        <x:v>688775|CV013</x:v>
      </x:c>
      <x:c r="B177" s="24" t="str">
        <x:v>688775</x:v>
      </x:c>
      <x:c r="C177" s="24" t="str">
        <x:v>影石创新</x:v>
      </x:c>
      <x:c r="D177" s="24" t="str">
        <x:v>CV013</x:v>
      </x:c>
      <x:c r="E177" s="24" t="str">
        <x:v>确认PE/VC占直接主体比重</x:v>
      </x:c>
      <x:c r="F177" s="24" t="str">
        <x:v>PEVC参与</x:v>
      </x:c>
      <x:c r="G177" s="24" t="str">
        <x:v>B扩展</x:v>
      </x:c>
      <x:c r="H177" s="24" t="str">
        <x:v>RATIO</x:v>
      </x:c>
      <x:c r="I177" s="24" t="str">
        <x:v>0–1</x:v>
      </x:c>
      <x:c r="J177" s="24" t="str">
        <x:v>计算值+研究判断</x:v>
      </x:c>
      <x:c r="K177" s="24" t="str">
        <x:v>VALID</x:v>
      </x:c>
      <x:c r="L177" s="24" t="n">
        <x:v>0</x:v>
      </x:c>
      <x:c r="M177" s="24" t="str">
        <x:v>VALID</x:v>
      </x:c>
      <x:c r="N177" s="24" t="str">
        <x:v>OBSERVED_OR_CALCULATED</x:v>
      </x:c>
      <x:c r="O177" s="24" t="str">
        <x:v>符合Stage 3计算门槛。</x:v>
      </x:c>
      <x:c r="P177" s="24" t="n">
        <x:v>1</x:v>
      </x:c>
      <x:c r="Q177" s="24"/>
      <x:c r="R177" s="24"/>
      <x:c r="S177" s="24" t="str">
        <x:v>确认PE/VC法律主体数/直接参与法律主体数。</x:v>
      </x:c>
      <x:c r="T177" s="24" t="str">
        <x:v>companies:688775</x:v>
      </x:c>
      <x:c r="U177" s="24"/>
      <x:c r="V177" s="24" t="str">
        <x:v>FROZEN_UNCHANGED</x:v>
      </x:c>
      <x:c r="W177" s="24" t="n">
        <x:v>0</x:v>
      </x:c>
    </x:row>
    <x:row r="178" ht="52" customHeight="1">
      <x:c r="A178" s="24" t="str">
        <x:v>688775|CV014</x:v>
      </x:c>
      <x:c r="B178" s="24" t="str">
        <x:v>688775</x:v>
      </x:c>
      <x:c r="C178" s="24" t="str">
        <x:v>影石创新</x:v>
      </x:c>
      <x:c r="D178" s="24" t="str">
        <x:v>CV014</x:v>
      </x:c>
      <x:c r="E178" s="24" t="str">
        <x:v>确认PE/VC参与融资轮数</x:v>
      </x:c>
      <x:c r="F178" s="24" t="str">
        <x:v>PEVC参与深度</x:v>
      </x:c>
      <x:c r="G178" s="24" t="str">
        <x:v>B扩展</x:v>
      </x:c>
      <x:c r="H178" s="24" t="str">
        <x:v>INTEGER</x:v>
      </x:c>
      <x:c r="I178" s="24" t="str">
        <x:v>轮</x:v>
      </x:c>
      <x:c r="J178" s="24" t="str">
        <x:v>研究判断派生</x:v>
      </x:c>
      <x:c r="K178" s="24" t="str">
        <x:v>VALID</x:v>
      </x:c>
      <x:c r="L178" s="24" t="n">
        <x:v>0</x:v>
      </x:c>
      <x:c r="M178" s="24" t="str">
        <x:v>VALID</x:v>
      </x:c>
      <x:c r="N178" s="24" t="str">
        <x:v>OBSERVED_OR_CALCULATED</x:v>
      </x:c>
      <x:c r="O178" s="24" t="str">
        <x:v>符合Stage 3计算门槛。</x:v>
      </x:c>
      <x:c r="P178" s="24" t="n">
        <x:v>1</x:v>
      </x:c>
      <x:c r="Q178" s="24"/>
      <x:c r="R178" s="24"/>
      <x:c r="S178" s="24" t="str">
        <x:v>公司层确认PE/VC数为0，因此确认PE/VC参与融资轮数为0。</x:v>
      </x:c>
      <x:c r="T178" s="24" t="str">
        <x:v>companies:688775</x:v>
      </x:c>
      <x:c r="U178" s="24"/>
      <x:c r="V178" s="24" t="str">
        <x:v>FROZEN_UNCHANGED</x:v>
      </x:c>
      <x:c r="W178" s="24" t="n">
        <x:v>0</x:v>
      </x:c>
    </x:row>
    <x:row r="179" ht="52" customHeight="1">
      <x:c r="A179" s="24" t="str">
        <x:v>688775|CV015</x:v>
      </x:c>
      <x:c r="B179" s="24" t="str">
        <x:v>688775</x:v>
      </x:c>
      <x:c r="C179" s="24" t="str">
        <x:v>影石创新</x:v>
      </x:c>
      <x:c r="D179" s="24" t="str">
        <x:v>CV015</x:v>
      </x:c>
      <x:c r="E179" s="24" t="str">
        <x:v>首次确认PE/VC进入日期</x:v>
      </x:c>
      <x:c r="F179" s="24" t="str">
        <x:v>PEVC进入时点</x:v>
      </x:c>
      <x:c r="G179" s="24" t="str">
        <x:v>A核心</x:v>
      </x:c>
      <x:c r="H179" s="24" t="str">
        <x:v>DATE_OR_MONTH</x:v>
      </x:c>
      <x:c r="I179" s="24" t="str">
        <x:v>日期或年月</x:v>
      </x:c>
      <x:c r="J179" s="24" t="str">
        <x:v>研究判断派生</x:v>
      </x:c>
      <x:c r="K179" s="24" t="str">
        <x:v>STRUCTURAL_NA</x:v>
      </x:c>
      <x:c r="L179" s="24"/>
      <x:c r="M179" s="24" t="str">
        <x:v>STRUCTURAL_NA</x:v>
      </x:c>
      <x:c r="N179" s="24" t="str">
        <x:v>STRUCTURAL_NA_NO_CONFIRMED_PEVC</x:v>
      </x:c>
      <x:c r="O179" s="24" t="str">
        <x:v>公司没有确认PE/VC法律主体。</x:v>
      </x:c>
      <x:c r="P179" s="24" t="n">
        <x:v>0</x:v>
      </x:c>
      <x:c r="Q179" s="24"/>
      <x:c r="R179" s="24"/>
      <x:c r="S179" s="24" t="str">
        <x:v>首次确认PE/VC进入日期不适用。</x:v>
      </x:c>
      <x:c r="T179" s="24" t="str">
        <x:v>companies:688775</x:v>
      </x:c>
      <x:c r="U179" s="24"/>
      <x:c r="V179" s="24" t="str">
        <x:v>FROZEN_UNCHANGED</x:v>
      </x:c>
      <x:c r="W179" s="24" t="n">
        <x:v>0</x:v>
      </x:c>
    </x:row>
    <x:row r="180" ht="52" customHeight="1">
      <x:c r="A180" s="24" t="str">
        <x:v>688775|CV016</x:v>
      </x:c>
      <x:c r="B180" s="24" t="str">
        <x:v>688775</x:v>
      </x:c>
      <x:c r="C180" s="24" t="str">
        <x:v>影石创新</x:v>
      </x:c>
      <x:c r="D180" s="24" t="str">
        <x:v>CV016</x:v>
      </x:c>
      <x:c r="E180" s="24" t="str">
        <x:v>首次确认PE/VC进入年份</x:v>
      </x:c>
      <x:c r="F180" s="24" t="str">
        <x:v>PEVC进入时点</x:v>
      </x:c>
      <x:c r="G180" s="24" t="str">
        <x:v>B扩展</x:v>
      </x:c>
      <x:c r="H180" s="24" t="str">
        <x:v>INTEGER</x:v>
      </x:c>
      <x:c r="I180" s="24" t="str">
        <x:v>年</x:v>
      </x:c>
      <x:c r="J180" s="24" t="str">
        <x:v>计算值+研究判断</x:v>
      </x:c>
      <x:c r="K180" s="24" t="str">
        <x:v>STRUCTURAL_NA</x:v>
      </x:c>
      <x:c r="L180" s="24"/>
      <x:c r="M180" s="24" t="str">
        <x:v>STRUCTURAL_NA</x:v>
      </x:c>
      <x:c r="N180" s="24" t="str">
        <x:v>STRUCTURAL_NA_NO_CONFIRMED_PEVC</x:v>
      </x:c>
      <x:c r="O180" s="24" t="str">
        <x:v>公司没有确认PE/VC法律主体。</x:v>
      </x:c>
      <x:c r="P180" s="24" t="n">
        <x:v>0</x:v>
      </x:c>
      <x:c r="Q180" s="24"/>
      <x:c r="R180" s="24"/>
      <x:c r="S180" s="24" t="str">
        <x:v>首次确认PE/VC进入年份不适用。</x:v>
      </x:c>
      <x:c r="T180" s="24" t="str">
        <x:v>companies:688775</x:v>
      </x:c>
      <x:c r="U180" s="24"/>
      <x:c r="V180" s="24" t="str">
        <x:v>FROZEN_UNCHANGED</x:v>
      </x:c>
      <x:c r="W180" s="24" t="n">
        <x:v>0</x:v>
      </x:c>
    </x:row>
    <x:row r="181" ht="52" customHeight="1">
      <x:c r="A181" s="24" t="str">
        <x:v>688775|CV017</x:v>
      </x:c>
      <x:c r="B181" s="24" t="str">
        <x:v>688775</x:v>
      </x:c>
      <x:c r="C181" s="24" t="str">
        <x:v>影石创新</x:v>
      </x:c>
      <x:c r="D181" s="24" t="str">
        <x:v>CV017</x:v>
      </x:c>
      <x:c r="E181" s="24" t="str">
        <x:v>首次确认PE/VC融资轮位置</x:v>
      </x:c>
      <x:c r="F181" s="24" t="str">
        <x:v>PEVC进入时点</x:v>
      </x:c>
      <x:c r="G181" s="24" t="str">
        <x:v>B扩展</x:v>
      </x:c>
      <x:c r="H181" s="24" t="str">
        <x:v>RATIO</x:v>
      </x:c>
      <x:c r="I181" s="24" t="str">
        <x:v>0–1</x:v>
      </x:c>
      <x:c r="J181" s="24" t="str">
        <x:v>研究判断派生</x:v>
      </x:c>
      <x:c r="K181" s="24" t="str">
        <x:v>STRUCTURAL_NA</x:v>
      </x:c>
      <x:c r="L181" s="24"/>
      <x:c r="M181" s="24" t="str">
        <x:v>STRUCTURAL_NA</x:v>
      </x:c>
      <x:c r="N181" s="24" t="str">
        <x:v>STRUCTURAL_NA_NO_CONFIRMED_PEVC</x:v>
      </x:c>
      <x:c r="O181" s="24" t="str">
        <x:v>公司没有确认PE/VC法律主体。</x:v>
      </x:c>
      <x:c r="P181" s="24" t="n">
        <x:v>0</x:v>
      </x:c>
      <x:c r="Q181" s="24"/>
      <x:c r="R181" s="24"/>
      <x:c r="S181" s="24" t="str">
        <x:v>首次确认PE/VC融资轮位置不适用。</x:v>
      </x:c>
      <x:c r="T181" s="24" t="str">
        <x:v>companies:688775</x:v>
      </x:c>
      <x:c r="U181" s="24"/>
      <x:c r="V181" s="24" t="str">
        <x:v>FROZEN_UNCHANGED</x:v>
      </x:c>
      <x:c r="W181" s="24" t="n">
        <x:v>0</x:v>
      </x:c>
    </x:row>
    <x:row r="182" ht="52" customHeight="1">
      <x:c r="A182" s="24" t="str">
        <x:v>688775|CV018</x:v>
      </x:c>
      <x:c r="B182" s="24" t="str">
        <x:v>688775</x:v>
      </x:c>
      <x:c r="C182" s="24" t="str">
        <x:v>影石创新</x:v>
      </x:c>
      <x:c r="D182" s="24" t="str">
        <x:v>CV018</x:v>
      </x:c>
      <x:c r="E182" s="24" t="str">
        <x:v>确认PE/VC间接路径标记</x:v>
      </x:c>
      <x:c r="F182" s="24" t="str">
        <x:v>投资路径复杂度</x:v>
      </x:c>
      <x:c r="G182" s="24" t="str">
        <x:v>B扩展</x:v>
      </x:c>
      <x:c r="H182" s="24" t="str">
        <x:v>BINARY</x:v>
      </x:c>
      <x:c r="I182" s="24" t="str">
        <x:v>0/1</x:v>
      </x:c>
      <x:c r="J182" s="24" t="str">
        <x:v>研究判断派生</x:v>
      </x:c>
      <x:c r="K182" s="24" t="str">
        <x:v>VALID</x:v>
      </x:c>
      <x:c r="L182" s="24" t="n">
        <x:v>0</x:v>
      </x:c>
      <x:c r="M182" s="24" t="str">
        <x:v>VALID</x:v>
      </x:c>
      <x:c r="N182" s="24" t="str">
        <x:v>OBSERVED_OR_CALCULATED</x:v>
      </x:c>
      <x:c r="O182" s="24" t="str">
        <x:v>符合Stage 3计算门槛。</x:v>
      </x:c>
      <x:c r="P182" s="24" t="n">
        <x:v>1</x:v>
      </x:c>
      <x:c r="Q182" s="24"/>
      <x:c r="R182" s="24"/>
      <x:c r="S182" s="24" t="str">
        <x:v>公司层确认PE/VC数为0，因此不存在确认PE/VC间接路径。</x:v>
      </x:c>
      <x:c r="T182" s="24" t="str">
        <x:v>companies:688775</x:v>
      </x:c>
      <x:c r="U182" s="24"/>
      <x:c r="V182" s="24" t="str">
        <x:v>FROZEN_UNCHANGED</x:v>
      </x:c>
      <x:c r="W182" s="24" t="n">
        <x:v>0</x:v>
      </x:c>
    </x:row>
    <x:row r="183" ht="52" customHeight="1">
      <x:c r="A183" s="24" t="str">
        <x:v>688775|CV019</x:v>
      </x:c>
      <x:c r="B183" s="24" t="str">
        <x:v>688775</x:v>
      </x:c>
      <x:c r="C183" s="24" t="str">
        <x:v>影石创新</x:v>
      </x:c>
      <x:c r="D183" s="24" t="str">
        <x:v>CV019</x:v>
      </x:c>
      <x:c r="E183" s="24" t="str">
        <x:v>确认PE/VC进入方式多样性</x:v>
      </x:c>
      <x:c r="F183" s="24" t="str">
        <x:v>PEVC进入方式</x:v>
      </x:c>
      <x:c r="G183" s="24" t="str">
        <x:v>B扩展</x:v>
      </x:c>
      <x:c r="H183" s="24" t="str">
        <x:v>INTEGER</x:v>
      </x:c>
      <x:c r="I183" s="24" t="str">
        <x:v>种</x:v>
      </x:c>
      <x:c r="J183" s="24" t="str">
        <x:v>研究判断派生</x:v>
      </x:c>
      <x:c r="K183" s="24" t="str">
        <x:v>VALID</x:v>
      </x:c>
      <x:c r="L183" s="24" t="n">
        <x:v>0</x:v>
      </x:c>
      <x:c r="M183" s="24" t="str">
        <x:v>VALID</x:v>
      </x:c>
      <x:c r="N183" s="24" t="str">
        <x:v>OBSERVED_OR_CALCULATED</x:v>
      </x:c>
      <x:c r="O183" s="24" t="str">
        <x:v>符合Stage 3计算门槛。</x:v>
      </x:c>
      <x:c r="P183" s="24" t="n">
        <x:v>1</x:v>
      </x:c>
      <x:c r="Q183" s="24"/>
      <x:c r="R183" s="24"/>
      <x:c r="S183" s="24" t="str">
        <x:v>公司层确认PE/VC数为0，因此进入方式种类为0。</x:v>
      </x:c>
      <x:c r="T183" s="24" t="str">
        <x:v>companies:688775</x:v>
      </x:c>
      <x:c r="U183" s="24"/>
      <x:c r="V183" s="24" t="str">
        <x:v>FROZEN_UNCHANGED</x:v>
      </x:c>
      <x:c r="W183" s="24" t="n">
        <x:v>0</x:v>
      </x:c>
    </x:row>
    <x:row r="184" ht="52" customHeight="1">
      <x:c r="A184" s="24" t="str">
        <x:v>688775|CV020</x:v>
      </x:c>
      <x:c r="B184" s="24" t="str">
        <x:v>688775</x:v>
      </x:c>
      <x:c r="C184" s="24" t="str">
        <x:v>影石创新</x:v>
      </x:c>
      <x:c r="D184" s="24" t="str">
        <x:v>CV020</x:v>
      </x:c>
      <x:c r="E184" s="24" t="str">
        <x:v>直接参与法律主体数</x:v>
      </x:c>
      <x:c r="F184" s="24" t="str">
        <x:v>参与结构规模</x:v>
      </x:c>
      <x:c r="G184" s="24" t="str">
        <x:v>A核心</x:v>
      </x:c>
      <x:c r="H184" s="24" t="str">
        <x:v>INTEGER</x:v>
      </x:c>
      <x:c r="I184" s="24" t="str">
        <x:v>个</x:v>
      </x:c>
      <x:c r="J184" s="24" t="str">
        <x:v>计算值</x:v>
      </x:c>
      <x:c r="K184" s="24" t="str">
        <x:v>VALID</x:v>
      </x:c>
      <x:c r="L184" s="24" t="n">
        <x:v>1</x:v>
      </x:c>
      <x:c r="M184" s="24" t="str">
        <x:v>VALID</x:v>
      </x:c>
      <x:c r="N184" s="24" t="str">
        <x:v>OBSERVED_OR_CALCULATED</x:v>
      </x:c>
      <x:c r="O184" s="24" t="str">
        <x:v>符合Stage 3计算门槛。</x:v>
      </x:c>
      <x:c r="P184" s="24" t="n">
        <x:v>0</x:v>
      </x:c>
      <x:c r="Q184" s="24"/>
      <x:c r="R184" s="24"/>
      <x:c r="S184" s="24" t="str">
        <x:v>读取公司层冻结直接参与法律主体数。</x:v>
      </x:c>
      <x:c r="T184" s="24" t="str">
        <x:v>companies:688775</x:v>
      </x:c>
      <x:c r="U184" s="24"/>
      <x:c r="V184" s="24" t="str">
        <x:v>FROZEN_UNCHANGED</x:v>
      </x:c>
      <x:c r="W184" s="24" t="n">
        <x:v>0</x:v>
      </x:c>
    </x:row>
    <x:row r="185" ht="52" customHeight="1">
      <x:c r="A185" s="24" t="str">
        <x:v>688775|CV021</x:v>
      </x:c>
      <x:c r="B185" s="24" t="str">
        <x:v>688775</x:v>
      </x:c>
      <x:c r="C185" s="24" t="str">
        <x:v>影石创新</x:v>
      </x:c>
      <x:c r="D185" s="24" t="str">
        <x:v>CV021</x:v>
      </x:c>
      <x:c r="E185" s="24" t="str">
        <x:v>融资投资方法律主体数</x:v>
      </x:c>
      <x:c r="F185" s="24" t="str">
        <x:v>融资参与广度</x:v>
      </x:c>
      <x:c r="G185" s="24" t="str">
        <x:v>B扩展</x:v>
      </x:c>
      <x:c r="H185" s="24" t="str">
        <x:v>INTEGER</x:v>
      </x:c>
      <x:c r="I185" s="24" t="str">
        <x:v>个</x:v>
      </x:c>
      <x:c r="J185" s="24" t="str">
        <x:v>计算值</x:v>
      </x:c>
      <x:c r="K185" s="24" t="str">
        <x:v>VALID</x:v>
      </x:c>
      <x:c r="L185" s="24" t="n">
        <x:v>0</x:v>
      </x:c>
      <x:c r="M185" s="24" t="str">
        <x:v>VALID</x:v>
      </x:c>
      <x:c r="N185" s="24" t="str">
        <x:v>OBSERVED_OR_CALCULATED</x:v>
      </x:c>
      <x:c r="O185" s="24" t="str">
        <x:v>符合Stage 3计算门槛。</x:v>
      </x:c>
      <x:c r="P185" s="24" t="n">
        <x:v>1</x:v>
      </x:c>
      <x:c r="Q185" s="24"/>
      <x:c r="R185" s="24"/>
      <x:c r="S185" s="24" t="str">
        <x:v>冻结口径下无融资轮，融资投资方法律主体数为0。</x:v>
      </x:c>
      <x:c r="T185" s="24" t="str">
        <x:v>companies:688775</x:v>
      </x:c>
      <x:c r="U185" s="24"/>
      <x:c r="V185" s="24" t="str">
        <x:v>FROZEN_UNCHANGED</x:v>
      </x:c>
      <x:c r="W185" s="24" t="n">
        <x:v>0</x:v>
      </x:c>
    </x:row>
    <x:row r="186" ht="52" customHeight="1">
      <x:c r="A186" s="24" t="str">
        <x:v>688775|CV022</x:v>
      </x:c>
      <x:c r="B186" s="24" t="str">
        <x:v>688775</x:v>
      </x:c>
      <x:c r="C186" s="24" t="str">
        <x:v>影石创新</x:v>
      </x:c>
      <x:c r="D186" s="24" t="str">
        <x:v>CV022</x:v>
      </x:c>
      <x:c r="E186" s="24" t="str">
        <x:v>每轮融资投资方密度</x:v>
      </x:c>
      <x:c r="F186" s="24" t="str">
        <x:v>融资参与密度</x:v>
      </x:c>
      <x:c r="G186" s="24" t="str">
        <x:v>B扩展</x:v>
      </x:c>
      <x:c r="H186" s="24" t="str">
        <x:v>RATIO</x:v>
      </x:c>
      <x:c r="I186" s="24" t="str">
        <x:v>个/轮</x:v>
      </x:c>
      <x:c r="J186" s="24" t="str">
        <x:v>计算值</x:v>
      </x:c>
      <x:c r="K186" s="24" t="str">
        <x:v>STRUCTURAL_NA</x:v>
      </x:c>
      <x:c r="L186" s="24"/>
      <x:c r="M186" s="24" t="str">
        <x:v>STRUCTURAL_NA</x:v>
      </x:c>
      <x:c r="N186" s="24" t="str">
        <x:v>STRUCTURAL_NA_NO_FINANCING_ROUNDS</x:v>
      </x:c>
      <x:c r="O186" s="24" t="str">
        <x:v>融资轮数为0，密度比率不适用。</x:v>
      </x:c>
      <x:c r="P186" s="24" t="n">
        <x:v>0</x:v>
      </x:c>
      <x:c r="Q186" s="24"/>
      <x:c r="R186" s="24"/>
      <x:c r="S186" s="24" t="str">
        <x:v>不把0轮公司的比率写成0。</x:v>
      </x:c>
      <x:c r="T186" s="24" t="str">
        <x:v>companies:688775</x:v>
      </x:c>
      <x:c r="U186" s="24"/>
      <x:c r="V186" s="24" t="str">
        <x:v>FROZEN_UNCHANGED</x:v>
      </x:c>
      <x:c r="W186" s="24" t="n">
        <x:v>0</x:v>
      </x:c>
    </x:row>
    <x:row r="187" ht="52" customHeight="1">
      <x:c r="A187" s="24" t="str">
        <x:v>688775|CV023</x:v>
      </x:c>
      <x:c r="B187" s="24" t="str">
        <x:v>688775</x:v>
      </x:c>
      <x:c r="C187" s="24" t="str">
        <x:v>影石创新</x:v>
      </x:c>
      <x:c r="D187" s="24" t="str">
        <x:v>CV023</x:v>
      </x:c>
      <x:c r="E187" s="24" t="str">
        <x:v>融资方式多样性</x:v>
      </x:c>
      <x:c r="F187" s="24" t="str">
        <x:v>融资机制</x:v>
      </x:c>
      <x:c r="G187" s="24" t="str">
        <x:v>B扩展</x:v>
      </x:c>
      <x:c r="H187" s="24" t="str">
        <x:v>INTEGER</x:v>
      </x:c>
      <x:c r="I187" s="24" t="str">
        <x:v>种</x:v>
      </x:c>
      <x:c r="J187" s="24" t="str">
        <x:v>计算值</x:v>
      </x:c>
      <x:c r="K187" s="24" t="str">
        <x:v>VALID</x:v>
      </x:c>
      <x:c r="L187" s="24" t="n">
        <x:v>0</x:v>
      </x:c>
      <x:c r="M187" s="24" t="str">
        <x:v>VALID</x:v>
      </x:c>
      <x:c r="N187" s="24" t="str">
        <x:v>OBSERVED_OR_CALCULATED</x:v>
      </x:c>
      <x:c r="O187" s="24" t="str">
        <x:v>符合Stage 3计算门槛。</x:v>
      </x:c>
      <x:c r="P187" s="24" t="n">
        <x:v>1</x:v>
      </x:c>
      <x:c r="Q187" s="24"/>
      <x:c r="R187" s="24"/>
      <x:c r="S187" s="24" t="str">
        <x:v>融资交易组成标准化方式=[]。</x:v>
      </x:c>
      <x:c r="T187" s="24"/>
      <x:c r="U187" s="24"/>
      <x:c r="V187" s="24" t="str">
        <x:v>FROZEN_UNCHANGED</x:v>
      </x:c>
      <x:c r="W187" s="24" t="n">
        <x:v>0</x:v>
      </x:c>
    </x:row>
    <x:row r="188" ht="52" customHeight="1">
      <x:c r="A188" s="24" t="str">
        <x:v>688775|CV024</x:v>
      </x:c>
      <x:c r="B188" s="24" t="str">
        <x:v>688775</x:v>
      </x:c>
      <x:c r="C188" s="24" t="str">
        <x:v>影石创新</x:v>
      </x:c>
      <x:c r="D188" s="24" t="str">
        <x:v>CV024</x:v>
      </x:c>
      <x:c r="E188" s="24" t="str">
        <x:v>股权转让交易数</x:v>
      </x:c>
      <x:c r="F188" s="24" t="str">
        <x:v>二级股权流动</x:v>
      </x:c>
      <x:c r="G188" s="24" t="str">
        <x:v>A核心</x:v>
      </x:c>
      <x:c r="H188" s="24" t="str">
        <x:v>INTEGER</x:v>
      </x:c>
      <x:c r="I188" s="24" t="str">
        <x:v>笔</x:v>
      </x:c>
      <x:c r="J188" s="24" t="str">
        <x:v>计算值</x:v>
      </x:c>
      <x:c r="K188" s="24" t="str">
        <x:v>VALID</x:v>
      </x:c>
      <x:c r="L188" s="24" t="n">
        <x:v>1</x:v>
      </x:c>
      <x:c r="M188" s="24" t="str">
        <x:v>VALID</x:v>
      </x:c>
      <x:c r="N188" s="24" t="str">
        <x:v>OBSERVED_OR_CALCULATED</x:v>
      </x:c>
      <x:c r="O188" s="24" t="str">
        <x:v>符合Stage 3计算门槛。</x:v>
      </x:c>
      <x:c r="P188" s="24" t="n">
        <x:v>0</x:v>
      </x:c>
      <x:c r="Q188" s="24"/>
      <x:c r="R188" s="24"/>
      <x:c r="S188" s="24" t="str">
        <x:v>按EQUITY_TRANSFER交易记录计数。</x:v>
      </x:c>
      <x:c r="T188" s="24" t="str">
        <x:v>TRX-688775-0003-01</x:v>
      </x:c>
      <x:c r="U188" s="24"/>
      <x:c r="V188" s="24" t="str">
        <x:v>FROZEN_UNCHANGED</x:v>
      </x:c>
      <x:c r="W188" s="24" t="n">
        <x:v>0</x:v>
      </x:c>
    </x:row>
    <x:row r="189" ht="52" customHeight="1">
      <x:c r="A189" s="24" t="str">
        <x:v>688775|CV025</x:v>
      </x:c>
      <x:c r="B189" s="24" t="str">
        <x:v>688775</x:v>
      </x:c>
      <x:c r="C189" s="24" t="str">
        <x:v>影石创新</x:v>
      </x:c>
      <x:c r="D189" s="24" t="str">
        <x:v>CV025</x:v>
      </x:c>
      <x:c r="E189" s="24" t="str">
        <x:v>可核验股权转让对价下限</x:v>
      </x:c>
      <x:c r="F189" s="24" t="str">
        <x:v>二级股权流动</x:v>
      </x:c>
      <x:c r="G189" s="24" t="str">
        <x:v>A核心</x:v>
      </x:c>
      <x:c r="H189" s="24" t="str">
        <x:v>CONTINUOUS</x:v>
      </x:c>
      <x:c r="I189" s="24" t="str">
        <x:v>万元人民币</x:v>
      </x:c>
      <x:c r="J189" s="24" t="str">
        <x:v>标准化值+计算值</x:v>
      </x:c>
      <x:c r="K189" s="24" t="str">
        <x:v>VALID</x:v>
      </x:c>
      <x:c r="L189" s="24" t="n">
        <x:v>1462.7126</x:v>
      </x:c>
      <x:c r="M189" s="24" t="str">
        <x:v>VALID</x:v>
      </x:c>
      <x:c r="N189" s="24" t="str">
        <x:v>OBSERVED_OR_CALCULATED</x:v>
      </x:c>
      <x:c r="O189" s="24" t="str">
        <x:v>符合Stage 3计算门槛。</x:v>
      </x:c>
      <x:c r="P189" s="24" t="n">
        <x:v>0</x:v>
      </x:c>
      <x:c r="Q189" s="24"/>
      <x:c r="R189" s="24"/>
      <x:c r="S189" s="24" t="str">
        <x:v>读取公司层冻结转让对价下限；状态=KNOWN_LOWER_BOUND。</x:v>
      </x:c>
      <x:c r="T189" s="24" t="str">
        <x:v>companies:688775</x:v>
      </x:c>
      <x:c r="U189" s="24"/>
      <x:c r="V189" s="24" t="str">
        <x:v>FROZEN_UNCHANGED</x:v>
      </x:c>
      <x:c r="W189" s="24" t="n">
        <x:v>0</x:v>
      </x:c>
    </x:row>
    <x:row r="190" ht="52" customHeight="1">
      <x:c r="A190" s="24" t="str">
        <x:v>688775|CV026</x:v>
      </x:c>
      <x:c r="B190" s="24" t="str">
        <x:v>688775</x:v>
      </x:c>
      <x:c r="C190" s="24" t="str">
        <x:v>影石创新</x:v>
      </x:c>
      <x:c r="D190" s="24" t="str">
        <x:v>CV026</x:v>
      </x:c>
      <x:c r="E190" s="24" t="str">
        <x:v>转让对价与融资金额比</x:v>
      </x:c>
      <x:c r="F190" s="24" t="str">
        <x:v>二级股权流动</x:v>
      </x:c>
      <x:c r="G190" s="24" t="str">
        <x:v>B扩展</x:v>
      </x:c>
      <x:c r="H190" s="24" t="str">
        <x:v>RATIO</x:v>
      </x:c>
      <x:c r="I190" s="24" t="str">
        <x:v>0–∞</x:v>
      </x:c>
      <x:c r="J190" s="24" t="str">
        <x:v>计算值</x:v>
      </x:c>
      <x:c r="K190" s="24" t="str">
        <x:v>NOT_COMPUTABLE</x:v>
      </x:c>
      <x:c r="L190" s="24"/>
      <x:c r="M190" s="24" t="str">
        <x:v>NOT_COMPUTABLE</x:v>
      </x:c>
      <x:c r="N190" s="24" t="str">
        <x:v>SECONDARY_PRIMARY_RATIO_INPUT_UNAVAILABLE</x:v>
      </x:c>
      <x:c r="O190" s="24" t="str">
        <x:v>转让金额或融资金额不可用，或融资金额分母不大于0。</x:v>
      </x:c>
      <x:c r="P190" s="24" t="n">
        <x:v>0</x:v>
      </x:c>
      <x:c r="Q190" s="24"/>
      <x:c r="R190" s="24"/>
      <x:c r="S190" s="24" t="str">
        <x:v>比例分母闸门未通过。</x:v>
      </x:c>
      <x:c r="T190" s="24" t="str">
        <x:v>companies:688775</x:v>
      </x:c>
      <x:c r="U190" s="24"/>
      <x:c r="V190" s="24" t="str">
        <x:v>FROZEN_UNCHANGED</x:v>
      </x:c>
      <x:c r="W190" s="24" t="n">
        <x:v>0</x:v>
      </x:c>
    </x:row>
    <x:row r="191" ht="52" customHeight="1">
      <x:c r="A191" s="24" t="str">
        <x:v>688775|CV027</x:v>
      </x:c>
      <x:c r="B191" s="24" t="str">
        <x:v>688775</x:v>
      </x:c>
      <x:c r="C191" s="24" t="str">
        <x:v>影石创新</x:v>
      </x:c>
      <x:c r="D191" s="24" t="str">
        <x:v>CV027</x:v>
      </x:c>
      <x:c r="E191" s="24" t="str">
        <x:v>金额已知融资轮数</x:v>
      </x:c>
      <x:c r="F191" s="24" t="str">
        <x:v>数据可用性</x:v>
      </x:c>
      <x:c r="G191" s="24" t="str">
        <x:v>Q质量</x:v>
      </x:c>
      <x:c r="H191" s="24" t="str">
        <x:v>INTEGER</x:v>
      </x:c>
      <x:c r="I191" s="24" t="str">
        <x:v>轮</x:v>
      </x:c>
      <x:c r="J191" s="24" t="str">
        <x:v>计算值</x:v>
      </x:c>
      <x:c r="K191" s="24" t="str">
        <x:v>VALID</x:v>
      </x:c>
      <x:c r="L191" s="24" t="n">
        <x:v>0</x:v>
      </x:c>
      <x:c r="M191" s="24" t="str">
        <x:v>VALID</x:v>
      </x:c>
      <x:c r="N191" s="24" t="str">
        <x:v>OBSERVED_OR_CALCULATED</x:v>
      </x:c>
      <x:c r="O191" s="24" t="str">
        <x:v>符合Stage 3计算门槛。</x:v>
      </x:c>
      <x:c r="P191" s="24" t="n">
        <x:v>1</x:v>
      </x:c>
      <x:c r="Q191" s="24"/>
      <x:c r="R191" s="24"/>
      <x:c r="S191" s="24" t="str">
        <x:v>融资轮中金额非null记录数。</x:v>
      </x:c>
      <x:c r="T191" s="24"/>
      <x:c r="U191" s="24"/>
      <x:c r="V191" s="24" t="str">
        <x:v>FROZEN_UNCHANGED</x:v>
      </x:c>
      <x:c r="W191" s="24" t="n">
        <x:v>0</x:v>
      </x:c>
    </x:row>
    <x:row r="192" ht="52" customHeight="1">
      <x:c r="A192" s="24" t="str">
        <x:v>688775|CV028</x:v>
      </x:c>
      <x:c r="B192" s="24" t="str">
        <x:v>688775</x:v>
      </x:c>
      <x:c r="C192" s="24" t="str">
        <x:v>影石创新</x:v>
      </x:c>
      <x:c r="D192" s="24" t="str">
        <x:v>CV028</x:v>
      </x:c>
      <x:c r="E192" s="24" t="str">
        <x:v>融资轮金额覆盖率</x:v>
      </x:c>
      <x:c r="F192" s="24" t="str">
        <x:v>数据可用性</x:v>
      </x:c>
      <x:c r="G192" s="24" t="str">
        <x:v>Q质量</x:v>
      </x:c>
      <x:c r="H192" s="24" t="str">
        <x:v>RATIO</x:v>
      </x:c>
      <x:c r="I192" s="24" t="str">
        <x:v>0–1</x:v>
      </x:c>
      <x:c r="J192" s="24" t="str">
        <x:v>计算值</x:v>
      </x:c>
      <x:c r="K192" s="24" t="str">
        <x:v>STRUCTURAL_NA</x:v>
      </x:c>
      <x:c r="L192" s="24"/>
      <x:c r="M192" s="24" t="str">
        <x:v>STRUCTURAL_NA</x:v>
      </x:c>
      <x:c r="N192" s="24" t="str">
        <x:v>STRUCTURAL_NA_NO_FINANCING_ROUNDS</x:v>
      </x:c>
      <x:c r="O192" s="24" t="str">
        <x:v>融资轮数为0，金额覆盖率不适用。</x:v>
      </x:c>
      <x:c r="P192" s="24" t="n">
        <x:v>0</x:v>
      </x:c>
      <x:c r="Q192" s="24"/>
      <x:c r="R192" s="24"/>
      <x:c r="S192" s="24" t="str">
        <x:v>分母为0时返回null。</x:v>
      </x:c>
      <x:c r="T192" s="24" t="str">
        <x:v>companies:688775</x:v>
      </x:c>
      <x:c r="U192" s="24"/>
      <x:c r="V192" s="24" t="str">
        <x:v>FROZEN_UNCHANGED</x:v>
      </x:c>
      <x:c r="W192" s="24" t="n">
        <x:v>0</x:v>
      </x:c>
    </x:row>
    <x:row r="193" ht="52" customHeight="1">
      <x:c r="A193" s="24" t="str">
        <x:v>688775|CV029</x:v>
      </x:c>
      <x:c r="B193" s="24" t="str">
        <x:v>688775</x:v>
      </x:c>
      <x:c r="C193" s="24" t="str">
        <x:v>影石创新</x:v>
      </x:c>
      <x:c r="D193" s="24" t="str">
        <x:v>CV029</x:v>
      </x:c>
      <x:c r="E193" s="24" t="str">
        <x:v>融资轮日期覆盖率</x:v>
      </x:c>
      <x:c r="F193" s="24" t="str">
        <x:v>数据可用性</x:v>
      </x:c>
      <x:c r="G193" s="24" t="str">
        <x:v>Q质量</x:v>
      </x:c>
      <x:c r="H193" s="24" t="str">
        <x:v>RATIO</x:v>
      </x:c>
      <x:c r="I193" s="24" t="str">
        <x:v>0–1</x:v>
      </x:c>
      <x:c r="J193" s="24" t="str">
        <x:v>计算值</x:v>
      </x:c>
      <x:c r="K193" s="24" t="str">
        <x:v>STRUCTURAL_NA</x:v>
      </x:c>
      <x:c r="L193" s="24"/>
      <x:c r="M193" s="24" t="str">
        <x:v>STRUCTURAL_NA</x:v>
      </x:c>
      <x:c r="N193" s="24" t="str">
        <x:v>STRUCTURAL_NA_NO_FINANCING_ROUNDS</x:v>
      </x:c>
      <x:c r="O193" s="24" t="str">
        <x:v>融资轮数为0，日期覆盖率不适用。</x:v>
      </x:c>
      <x:c r="P193" s="24" t="n">
        <x:v>0</x:v>
      </x:c>
      <x:c r="Q193" s="24"/>
      <x:c r="R193" s="24"/>
      <x:c r="S193" s="24" t="str">
        <x:v>分母为0时返回null。</x:v>
      </x:c>
      <x:c r="T193" s="24" t="str">
        <x:v>companies:688775</x:v>
      </x:c>
      <x:c r="U193" s="24"/>
      <x:c r="V193" s="24" t="str">
        <x:v>FROZEN_UNCHANGED</x:v>
      </x:c>
      <x:c r="W193" s="24" t="n">
        <x:v>0</x:v>
      </x:c>
    </x:row>
    <x:row r="194" ht="52" customHeight="1">
      <x:c r="A194" s="24" t="str">
        <x:v>688775|CV030</x:v>
      </x:c>
      <x:c r="B194" s="24" t="str">
        <x:v>688775</x:v>
      </x:c>
      <x:c r="C194" s="24" t="str">
        <x:v>影石创新</x:v>
      </x:c>
      <x:c r="D194" s="24" t="str">
        <x:v>CV030</x:v>
      </x:c>
      <x:c r="E194" s="24" t="str">
        <x:v>计算型轮次金额占比</x:v>
      </x:c>
      <x:c r="F194" s="24" t="str">
        <x:v>数值来源结构</x:v>
      </x:c>
      <x:c r="G194" s="24" t="str">
        <x:v>Q质量</x:v>
      </x:c>
      <x:c r="H194" s="24" t="str">
        <x:v>RATIO</x:v>
      </x:c>
      <x:c r="I194" s="24" t="str">
        <x:v>0–1</x:v>
      </x:c>
      <x:c r="J194" s="24" t="str">
        <x:v>计算值</x:v>
      </x:c>
      <x:c r="K194" s="24" t="str">
        <x:v>STRUCTURAL_NA</x:v>
      </x:c>
      <x:c r="L194" s="24"/>
      <x:c r="M194" s="24" t="str">
        <x:v>STRUCTURAL_NA</x:v>
      </x:c>
      <x:c r="N194" s="24" t="str">
        <x:v>STRUCTURAL_NA_NO_KNOWN_ROUND_AMOUNTS</x:v>
      </x:c>
      <x:c r="O194" s="24" t="str">
        <x:v>没有已知金额融资轮，计算型金额占比不适用。</x:v>
      </x:c>
      <x:c r="P194" s="24" t="n">
        <x:v>0</x:v>
      </x:c>
      <x:c r="Q194" s="24"/>
      <x:c r="R194" s="24"/>
      <x:c r="S194" s="24" t="str">
        <x:v>分母为0时返回null。</x:v>
      </x:c>
      <x:c r="T194" s="24" t="str">
        <x:v>companies:688775</x:v>
      </x:c>
      <x:c r="U194" s="24"/>
      <x:c r="V194" s="24" t="str">
        <x:v>FROZEN_UNCHANGED</x:v>
      </x:c>
      <x:c r="W194" s="24" t="n">
        <x:v>0</x:v>
      </x:c>
    </x:row>
    <x:row r="195" ht="52" customHeight="1">
      <x:c r="A195" s="24" t="str">
        <x:v>688775|CV031</x:v>
      </x:c>
      <x:c r="B195" s="24" t="str">
        <x:v>688775</x:v>
      </x:c>
      <x:c r="C195" s="24" t="str">
        <x:v>影石创新</x:v>
      </x:c>
      <x:c r="D195" s="24" t="str">
        <x:v>CV031</x:v>
      </x:c>
      <x:c r="E195" s="24" t="str">
        <x:v>每轮融资证据记录数</x:v>
      </x:c>
      <x:c r="F195" s="24" t="str">
        <x:v>证据密度</x:v>
      </x:c>
      <x:c r="G195" s="24" t="str">
        <x:v>Q质量</x:v>
      </x:c>
      <x:c r="H195" s="24" t="str">
        <x:v>RATIO</x:v>
      </x:c>
      <x:c r="I195" s="24" t="str">
        <x:v>条/轮</x:v>
      </x:c>
      <x:c r="J195" s="24" t="str">
        <x:v>计算值</x:v>
      </x:c>
      <x:c r="K195" s="24" t="str">
        <x:v>STRUCTURAL_NA</x:v>
      </x:c>
      <x:c r="L195" s="24"/>
      <x:c r="M195" s="24" t="str">
        <x:v>STRUCTURAL_NA</x:v>
      </x:c>
      <x:c r="N195" s="24" t="str">
        <x:v>STRUCTURAL_NA_NO_FINANCING_ROUNDS</x:v>
      </x:c>
      <x:c r="O195" s="24" t="str">
        <x:v>融资轮数为0，每轮证据数不适用。</x:v>
      </x:c>
      <x:c r="P195" s="24" t="n">
        <x:v>0</x:v>
      </x:c>
      <x:c r="Q195" s="24"/>
      <x:c r="R195" s="24"/>
      <x:c r="S195" s="24" t="str">
        <x:v>分母为0时返回null。</x:v>
      </x:c>
      <x:c r="T195" s="24" t="str">
        <x:v>companies:688775</x:v>
      </x:c>
      <x:c r="U195" s="24"/>
      <x:c r="V195" s="24" t="str">
        <x:v>FROZEN_UNCHANGED</x:v>
      </x:c>
      <x:c r="W195" s="24" t="n">
        <x:v>0</x:v>
      </x:c>
    </x:row>
    <x:row r="196" ht="52" customHeight="1">
      <x:c r="A196" s="24" t="str">
        <x:v>688775|CV032</x:v>
      </x:c>
      <x:c r="B196" s="24" t="str">
        <x:v>688775</x:v>
      </x:c>
      <x:c r="C196" s="24" t="str">
        <x:v>影石创新</x:v>
      </x:c>
      <x:c r="D196" s="24" t="str">
        <x:v>CV032</x:v>
      </x:c>
      <x:c r="E196" s="24" t="str">
        <x:v>公司级披露限制标记</x:v>
      </x:c>
      <x:c r="F196" s="24" t="str">
        <x:v>披露边界</x:v>
      </x:c>
      <x:c r="G196" s="24" t="str">
        <x:v>Q质量</x:v>
      </x:c>
      <x:c r="H196" s="24" t="str">
        <x:v>BINARY</x:v>
      </x:c>
      <x:c r="I196" s="24" t="str">
        <x:v>0/1</x:v>
      </x:c>
      <x:c r="J196" s="24" t="str">
        <x:v>研究判断派生</x:v>
      </x:c>
      <x:c r="K196" s="24" t="str">
        <x:v>VALID</x:v>
      </x:c>
      <x:c r="L196" s="24" t="n">
        <x:v>1</x:v>
      </x:c>
      <x:c r="M196" s="24" t="str">
        <x:v>VALID</x:v>
      </x:c>
      <x:c r="N196" s="24" t="str">
        <x:v>OBSERVED_OR_CALCULATED</x:v>
      </x:c>
      <x:c r="O196" s="24" t="str">
        <x:v>符合Stage 3计算门槛。</x:v>
      </x:c>
      <x:c r="P196" s="24" t="n">
        <x:v>0</x:v>
      </x:c>
      <x:c r="Q196" s="24"/>
      <x:c r="R196" s="24"/>
      <x:c r="S196" s="24" t="str">
        <x:v>FINAL_APPROVED公司记录中检查disclosure_limitation是否非空。</x:v>
      </x:c>
      <x:c r="T196" s="24" t="str">
        <x:v>companies:688775</x:v>
      </x:c>
      <x:c r="U196" s="24"/>
      <x:c r="V196" s="24" t="str">
        <x:v>FROZEN_UNCHANGED</x:v>
      </x:c>
      <x:c r="W196" s="24" t="n">
        <x:v>0</x:v>
      </x:c>
    </x:row>
    <x:row r="197" ht="52" customHeight="1">
      <x:c r="A197" s="24" t="str">
        <x:v>920100|CV001</x:v>
      </x:c>
      <x:c r="B197" s="24" t="str">
        <x:v>920100</x:v>
      </x:c>
      <x:c r="C197" s="24" t="str">
        <x:v>三协电机</x:v>
      </x:c>
      <x:c r="D197" s="24" t="str">
        <x:v>CV001</x:v>
      </x:c>
      <x:c r="E197" s="24" t="str">
        <x:v>上市前直接股权融资发生标记</x:v>
      </x:c>
      <x:c r="F197" s="24" t="str">
        <x:v>融资经历</x:v>
      </x:c>
      <x:c r="G197" s="24" t="str">
        <x:v>A核心</x:v>
      </x:c>
      <x:c r="H197" s="24" t="str">
        <x:v>BINARY</x:v>
      </x:c>
      <x:c r="I197" s="24" t="str">
        <x:v>0/1</x:v>
      </x:c>
      <x:c r="J197" s="24" t="str">
        <x:v>研究判断派生</x:v>
      </x:c>
      <x:c r="K197" s="24" t="str">
        <x:v>VALID</x:v>
      </x:c>
      <x:c r="L197" s="24" t="n">
        <x:v>1</x:v>
      </x:c>
      <x:c r="M197" s="24" t="str">
        <x:v>VALID</x:v>
      </x:c>
      <x:c r="N197" s="24" t="str">
        <x:v>OBSERVED_OR_CALCULATED</x:v>
      </x:c>
      <x:c r="O197" s="24" t="str">
        <x:v>符合Stage 3计算门槛。</x:v>
      </x:c>
      <x:c r="P197" s="24" t="n">
        <x:v>0</x:v>
      </x:c>
      <x:c r="Q197" s="24"/>
      <x:c r="R197" s="24"/>
      <x:c r="S197" s="24" t="str">
        <x:v>financing_round_count=2，据此生成二元标记。</x:v>
      </x:c>
      <x:c r="T197" s="24" t="str">
        <x:v>companies:920100</x:v>
      </x:c>
      <x:c r="U197" s="24"/>
      <x:c r="V197" s="24" t="str">
        <x:v>FROZEN_UNCHANGED</x:v>
      </x:c>
      <x:c r="W197" s="24" t="n">
        <x:v>0</x:v>
      </x:c>
    </x:row>
    <x:row r="198" ht="52" customHeight="1">
      <x:c r="A198" s="24" t="str">
        <x:v>920100|CV002</x:v>
      </x:c>
      <x:c r="B198" s="24" t="str">
        <x:v>920100</x:v>
      </x:c>
      <x:c r="C198" s="24" t="str">
        <x:v>三协电机</x:v>
      </x:c>
      <x:c r="D198" s="24" t="str">
        <x:v>CV002</x:v>
      </x:c>
      <x:c r="E198" s="24" t="str">
        <x:v>上市前直接股权融资轮数</x:v>
      </x:c>
      <x:c r="F198" s="24" t="str">
        <x:v>融资频度</x:v>
      </x:c>
      <x:c r="G198" s="24" t="str">
        <x:v>A核心</x:v>
      </x:c>
      <x:c r="H198" s="24" t="str">
        <x:v>INTEGER</x:v>
      </x:c>
      <x:c r="I198" s="24" t="str">
        <x:v>轮</x:v>
      </x:c>
      <x:c r="J198" s="24" t="str">
        <x:v>研究判断</x:v>
      </x:c>
      <x:c r="K198" s="24" t="str">
        <x:v>VALID</x:v>
      </x:c>
      <x:c r="L198" s="24" t="n">
        <x:v>2</x:v>
      </x:c>
      <x:c r="M198" s="24" t="str">
        <x:v>VALID</x:v>
      </x:c>
      <x:c r="N198" s="24" t="str">
        <x:v>OBSERVED_OR_CALCULATED</x:v>
      </x:c>
      <x:c r="O198" s="24" t="str">
        <x:v>符合Stage 3计算门槛。</x:v>
      </x:c>
      <x:c r="P198" s="24" t="n">
        <x:v>0</x:v>
      </x:c>
      <x:c r="Q198" s="24"/>
      <x:c r="R198" s="24"/>
      <x:c r="S198" s="24" t="str">
        <x:v>公司冻结轮次=2；事件层TRUE计数=2。</x:v>
      </x:c>
      <x:c r="T198" s="24" t="str">
        <x:v>companies:920100; W7-OVR-920100-2022-DI; W7-OVR-920100-2023-DI</x:v>
      </x:c>
      <x:c r="U198" s="24"/>
      <x:c r="V198" s="24" t="str">
        <x:v>FROZEN_UNCHANGED</x:v>
      </x:c>
      <x:c r="W198" s="24" t="n">
        <x:v>0</x:v>
      </x:c>
    </x:row>
    <x:row r="199" ht="52" customHeight="1">
      <x:c r="A199" s="24" t="str">
        <x:v>920100|CV003</x:v>
      </x:c>
      <x:c r="B199" s="24" t="str">
        <x:v>920100</x:v>
      </x:c>
      <x:c r="C199" s="24" t="str">
        <x:v>三协电机</x:v>
      </x:c>
      <x:c r="D199" s="24" t="str">
        <x:v>CV003</x:v>
      </x:c>
      <x:c r="E199" s="24" t="str">
        <x:v>可核验融资金额下限</x:v>
      </x:c>
      <x:c r="F199" s="24" t="str">
        <x:v>融资规模</x:v>
      </x:c>
      <x:c r="G199" s="24" t="str">
        <x:v>A核心</x:v>
      </x:c>
      <x:c r="H199" s="24" t="str">
        <x:v>CONTINUOUS</x:v>
      </x:c>
      <x:c r="I199" s="24" t="str">
        <x:v>万元人民币</x:v>
      </x:c>
      <x:c r="J199" s="24" t="str">
        <x:v>标准化值+计算值</x:v>
      </x:c>
      <x:c r="K199" s="24" t="str">
        <x:v>VALID</x:v>
      </x:c>
      <x:c r="L199" s="24" t="n">
        <x:v>4097.49</x:v>
      </x:c>
      <x:c r="M199" s="24" t="str">
        <x:v>VALID</x:v>
      </x:c>
      <x:c r="N199" s="24" t="str">
        <x:v>OBSERVED_OR_CALCULATED</x:v>
      </x:c>
      <x:c r="O199" s="24" t="str">
        <x:v>符合Stage 3计算门槛。</x:v>
      </x:c>
      <x:c r="P199" s="24" t="n">
        <x:v>0</x:v>
      </x:c>
      <x:c r="Q199" s="24"/>
      <x:c r="R199" s="24"/>
      <x:c r="S199" s="24" t="str">
        <x:v>读取公司层冻结金额；状态=DISCLOSED_COMPLETE。</x:v>
      </x:c>
      <x:c r="T199" s="24" t="str">
        <x:v>companies:920100</x:v>
      </x:c>
      <x:c r="U199" s="24"/>
      <x:c r="V199" s="24" t="str">
        <x:v>FROZEN_UNCHANGED</x:v>
      </x:c>
      <x:c r="W199" s="24" t="n">
        <x:v>0</x:v>
      </x:c>
    </x:row>
    <x:row r="200" ht="52" customHeight="1">
      <x:c r="A200" s="24" t="str">
        <x:v>920100|CV004</x:v>
      </x:c>
      <x:c r="B200" s="24" t="str">
        <x:v>920100</x:v>
      </x:c>
      <x:c r="C200" s="24" t="str">
        <x:v>三协电机</x:v>
      </x:c>
      <x:c r="D200" s="24" t="str">
        <x:v>CV004</x:v>
      </x:c>
      <x:c r="E200" s="24" t="str">
        <x:v>融资金额下限对数</x:v>
      </x:c>
      <x:c r="F200" s="24" t="str">
        <x:v>融资规模</x:v>
      </x:c>
      <x:c r="G200" s="24" t="str">
        <x:v>B扩展</x:v>
      </x:c>
      <x:c r="H200" s="24" t="str">
        <x:v>CONTINUOUS</x:v>
      </x:c>
      <x:c r="I200" s="24" t="str">
        <x:v>ln(1+万元)</x:v>
      </x:c>
      <x:c r="J200" s="24" t="str">
        <x:v>计算值</x:v>
      </x:c>
      <x:c r="K200" s="24" t="str">
        <x:v>VALID</x:v>
      </x:c>
      <x:c r="L200" s="24" t="n">
        <x:v>8.318373892173065</x:v>
      </x:c>
      <x:c r="M200" s="24" t="str">
        <x:v>VALID</x:v>
      </x:c>
      <x:c r="N200" s="24" t="str">
        <x:v>OBSERVED_OR_CALCULATED</x:v>
      </x:c>
      <x:c r="O200" s="24" t="str">
        <x:v>符合Stage 3计算门槛。</x:v>
      </x:c>
      <x:c r="P200" s="24" t="n">
        <x:v>0</x:v>
      </x:c>
      <x:c r="Q200" s="24"/>
      <x:c r="R200" s="24"/>
      <x:c r="S200" s="24" t="str">
        <x:v>LN(1+公司层融资金额下限)。</x:v>
      </x:c>
      <x:c r="T200" s="24" t="str">
        <x:v>companies:920100</x:v>
      </x:c>
      <x:c r="U200" s="24"/>
      <x:c r="V200" s="24" t="str">
        <x:v>FROZEN_UNCHANGED</x:v>
      </x:c>
      <x:c r="W200" s="24" t="n">
        <x:v>0</x:v>
      </x:c>
    </x:row>
    <x:row r="201" ht="52" customHeight="1">
      <x:c r="A201" s="24" t="str">
        <x:v>920100|CV005</x:v>
      </x:c>
      <x:c r="B201" s="24" t="str">
        <x:v>920100</x:v>
      </x:c>
      <x:c r="C201" s="24" t="str">
        <x:v>三协电机</x:v>
      </x:c>
      <x:c r="D201" s="24" t="str">
        <x:v>CV005</x:v>
      </x:c>
      <x:c r="E201" s="24" t="str">
        <x:v>已知金额轮次均值</x:v>
      </x:c>
      <x:c r="F201" s="24" t="str">
        <x:v>单轮融资规模</x:v>
      </x:c>
      <x:c r="G201" s="24" t="str">
        <x:v>A核心</x:v>
      </x:c>
      <x:c r="H201" s="24" t="str">
        <x:v>CONTINUOUS</x:v>
      </x:c>
      <x:c r="I201" s="24" t="str">
        <x:v>万元人民币/已知轮</x:v>
      </x:c>
      <x:c r="J201" s="24" t="str">
        <x:v>计算值</x:v>
      </x:c>
      <x:c r="K201" s="24" t="str">
        <x:v>VALID</x:v>
      </x:c>
      <x:c r="L201" s="24" t="n">
        <x:v>2048.745</x:v>
      </x:c>
      <x:c r="M201" s="24" t="str">
        <x:v>VALID</x:v>
      </x:c>
      <x:c r="N201" s="24" t="str">
        <x:v>OBSERVED_OR_CALCULATED</x:v>
      </x:c>
      <x:c r="O201" s="24" t="str">
        <x:v>符合Stage 3计算门槛。</x:v>
      </x:c>
      <x:c r="P201" s="24" t="n">
        <x:v>0</x:v>
      </x:c>
      <x:c r="Q201" s="24"/>
      <x:c r="R201" s="24"/>
      <x:c r="S201" s="24" t="str">
        <x:v>基于2个非null融资轮金额计算已知轮次金额均值。</x:v>
      </x:c>
      <x:c r="T201" s="24" t="str">
        <x:v>W7-OVR-920100-2022-DI; W7-OVR-920100-2023-DI</x:v>
      </x:c>
      <x:c r="U201" s="24"/>
      <x:c r="V201" s="24" t="str">
        <x:v>FROZEN_UNCHANGED</x:v>
      </x:c>
      <x:c r="W201" s="24" t="n">
        <x:v>0</x:v>
      </x:c>
    </x:row>
    <x:row r="202" ht="52" customHeight="1">
      <x:c r="A202" s="24" t="str">
        <x:v>920100|CV006</x:v>
      </x:c>
      <x:c r="B202" s="24" t="str">
        <x:v>920100</x:v>
      </x:c>
      <x:c r="C202" s="24" t="str">
        <x:v>三协电机</x:v>
      </x:c>
      <x:c r="D202" s="24" t="str">
        <x:v>CV006</x:v>
      </x:c>
      <x:c r="E202" s="24" t="str">
        <x:v>已知金额轮次中位数</x:v>
      </x:c>
      <x:c r="F202" s="24" t="str">
        <x:v>单轮融资规模</x:v>
      </x:c>
      <x:c r="G202" s="24" t="str">
        <x:v>B扩展</x:v>
      </x:c>
      <x:c r="H202" s="24" t="str">
        <x:v>CONTINUOUS</x:v>
      </x:c>
      <x:c r="I202" s="24" t="str">
        <x:v>万元人民币/已知轮</x:v>
      </x:c>
      <x:c r="J202" s="24" t="str">
        <x:v>计算值</x:v>
      </x:c>
      <x:c r="K202" s="24" t="str">
        <x:v>VALID</x:v>
      </x:c>
      <x:c r="L202" s="24" t="n">
        <x:v>2048.745</x:v>
      </x:c>
      <x:c r="M202" s="24" t="str">
        <x:v>VALID</x:v>
      </x:c>
      <x:c r="N202" s="24" t="str">
        <x:v>OBSERVED_OR_CALCULATED</x:v>
      </x:c>
      <x:c r="O202" s="24" t="str">
        <x:v>符合Stage 3计算门槛。</x:v>
      </x:c>
      <x:c r="P202" s="24" t="n">
        <x:v>0</x:v>
      </x:c>
      <x:c r="Q202" s="24"/>
      <x:c r="R202" s="24"/>
      <x:c r="S202" s="24" t="str">
        <x:v>基于2个非null融资轮金额计算已知轮次金额中位数。</x:v>
      </x:c>
      <x:c r="T202" s="24" t="str">
        <x:v>W7-OVR-920100-2022-DI; W7-OVR-920100-2023-DI</x:v>
      </x:c>
      <x:c r="U202" s="24"/>
      <x:c r="V202" s="24" t="str">
        <x:v>FROZEN_UNCHANGED</x:v>
      </x:c>
      <x:c r="W202" s="24" t="n">
        <x:v>0</x:v>
      </x:c>
    </x:row>
    <x:row r="203" ht="52" customHeight="1">
      <x:c r="A203" s="24" t="str">
        <x:v>920100|CV007</x:v>
      </x:c>
      <x:c r="B203" s="24" t="str">
        <x:v>920100</x:v>
      </x:c>
      <x:c r="C203" s="24" t="str">
        <x:v>三协电机</x:v>
      </x:c>
      <x:c r="D203" s="24" t="str">
        <x:v>CV007</x:v>
      </x:c>
      <x:c r="E203" s="24" t="str">
        <x:v>最大已知单轮融资金额</x:v>
      </x:c>
      <x:c r="F203" s="24" t="str">
        <x:v>融资峰值</x:v>
      </x:c>
      <x:c r="G203" s="24" t="str">
        <x:v>B扩展</x:v>
      </x:c>
      <x:c r="H203" s="24" t="str">
        <x:v>CONTINUOUS</x:v>
      </x:c>
      <x:c r="I203" s="24" t="str">
        <x:v>万元人民币</x:v>
      </x:c>
      <x:c r="J203" s="24" t="str">
        <x:v>计算值</x:v>
      </x:c>
      <x:c r="K203" s="24" t="str">
        <x:v>VALID</x:v>
      </x:c>
      <x:c r="L203" s="24" t="n">
        <x:v>2374.4</x:v>
      </x:c>
      <x:c r="M203" s="24" t="str">
        <x:v>VALID</x:v>
      </x:c>
      <x:c r="N203" s="24" t="str">
        <x:v>OBSERVED_OR_CALCULATED</x:v>
      </x:c>
      <x:c r="O203" s="24" t="str">
        <x:v>符合Stage 3计算门槛。</x:v>
      </x:c>
      <x:c r="P203" s="24" t="n">
        <x:v>0</x:v>
      </x:c>
      <x:c r="Q203" s="24"/>
      <x:c r="R203" s="24"/>
      <x:c r="S203" s="24" t="str">
        <x:v>基于2个非null融资轮金额计算最大已知轮次金额。</x:v>
      </x:c>
      <x:c r="T203" s="24" t="str">
        <x:v>W7-OVR-920100-2022-DI; W7-OVR-920100-2023-DI</x:v>
      </x:c>
      <x:c r="U203" s="24"/>
      <x:c r="V203" s="24" t="str">
        <x:v>FROZEN_UNCHANGED</x:v>
      </x:c>
      <x:c r="W203" s="24" t="n">
        <x:v>0</x:v>
      </x:c>
    </x:row>
    <x:row r="204" ht="52" customHeight="1">
      <x:c r="A204" s="24" t="str">
        <x:v>920100|CV008</x:v>
      </x:c>
      <x:c r="B204" s="24" t="str">
        <x:v>920100</x:v>
      </x:c>
      <x:c r="C204" s="24" t="str">
        <x:v>三协电机</x:v>
      </x:c>
      <x:c r="D204" s="24" t="str">
        <x:v>CV008</x:v>
      </x:c>
      <x:c r="E204" s="24" t="str">
        <x:v>最大已知轮金额占比</x:v>
      </x:c>
      <x:c r="F204" s="24" t="str">
        <x:v>融资集中度</x:v>
      </x:c>
      <x:c r="G204" s="24" t="str">
        <x:v>B扩展</x:v>
      </x:c>
      <x:c r="H204" s="24" t="str">
        <x:v>RATIO</x:v>
      </x:c>
      <x:c r="I204" s="24" t="str">
        <x:v>0–1</x:v>
      </x:c>
      <x:c r="J204" s="24" t="str">
        <x:v>计算值</x:v>
      </x:c>
      <x:c r="K204" s="24" t="str">
        <x:v>VALID</x:v>
      </x:c>
      <x:c r="L204" s="24" t="n">
        <x:v>0.5794767040310044</x:v>
      </x:c>
      <x:c r="M204" s="24" t="str">
        <x:v>VALID</x:v>
      </x:c>
      <x:c r="N204" s="24" t="str">
        <x:v>OBSERVED_OR_CALCULATED</x:v>
      </x:c>
      <x:c r="O204" s="24" t="str">
        <x:v>符合Stage 3计算门槛。</x:v>
      </x:c>
      <x:c r="P204" s="24" t="n">
        <x:v>0</x:v>
      </x:c>
      <x:c r="Q204" s="24"/>
      <x:c r="R204" s="24"/>
      <x:c r="S204" s="24" t="str">
        <x:v>最大已知轮金额/已知事件锚点金额合计。</x:v>
      </x:c>
      <x:c r="T204" s="24" t="str">
        <x:v>W7-OVR-920100-2022-DI; W7-OVR-920100-2023-DI</x:v>
      </x:c>
      <x:c r="U204" s="24"/>
      <x:c r="V204" s="24" t="str">
        <x:v>FROZEN_UNCHANGED</x:v>
      </x:c>
      <x:c r="W204" s="24" t="n">
        <x:v>0</x:v>
      </x:c>
    </x:row>
    <x:row r="205" ht="52" customHeight="1">
      <x:c r="A205" s="24" t="str">
        <x:v>920100|CV009</x:v>
      </x:c>
      <x:c r="B205" s="24" t="str">
        <x:v>920100</x:v>
      </x:c>
      <x:c r="C205" s="24" t="str">
        <x:v>三协电机</x:v>
      </x:c>
      <x:c r="D205" s="24" t="str">
        <x:v>CV009</x:v>
      </x:c>
      <x:c r="E205" s="24" t="str">
        <x:v>融资时间跨度</x:v>
      </x:c>
      <x:c r="F205" s="24" t="str">
        <x:v>融资节奏</x:v>
      </x:c>
      <x:c r="G205" s="24" t="str">
        <x:v>A核心</x:v>
      </x:c>
      <x:c r="H205" s="24" t="str">
        <x:v>CONTINUOUS</x:v>
      </x:c>
      <x:c r="I205" s="24" t="str">
        <x:v>月</x:v>
      </x:c>
      <x:c r="J205" s="24" t="str">
        <x:v>计算值</x:v>
      </x:c>
      <x:c r="K205" s="24" t="str">
        <x:v>VALID</x:v>
      </x:c>
      <x:c r="L205" s="24" t="n">
        <x:v>13</x:v>
      </x:c>
      <x:c r="M205" s="24" t="str">
        <x:v>VALID</x:v>
      </x:c>
      <x:c r="N205" s="24" t="str">
        <x:v>OBSERVED_OR_CALCULATED</x:v>
      </x:c>
      <x:c r="O205" s="24" t="str">
        <x:v>符合Stage 3计算门槛。</x:v>
      </x:c>
      <x:c r="P205" s="24" t="n">
        <x:v>0</x:v>
      </x:c>
      <x:c r="Q205" s="24"/>
      <x:c r="R205" s="24"/>
      <x:c r="S205" s="24" t="str">
        <x:v>使用2个可用年月计算最晚减最早。</x:v>
      </x:c>
      <x:c r="T205" s="24" t="str">
        <x:v>W7-OVR-920100-2022-DI; W7-OVR-920100-2023-DI</x:v>
      </x:c>
      <x:c r="U205" s="24"/>
      <x:c r="V205" s="24" t="str">
        <x:v>FROZEN_UNCHANGED</x:v>
      </x:c>
      <x:c r="W205" s="24" t="n">
        <x:v>0</x:v>
      </x:c>
    </x:row>
    <x:row r="206" ht="52" customHeight="1">
      <x:c r="A206" s="24" t="str">
        <x:v>920100|CV010</x:v>
      </x:c>
      <x:c r="B206" s="24" t="str">
        <x:v>920100</x:v>
      </x:c>
      <x:c r="C206" s="24" t="str">
        <x:v>三协电机</x:v>
      </x:c>
      <x:c r="D206" s="24" t="str">
        <x:v>CV010</x:v>
      </x:c>
      <x:c r="E206" s="24" t="str">
        <x:v>融资轮次间隔中位数</x:v>
      </x:c>
      <x:c r="F206" s="24" t="str">
        <x:v>融资节奏</x:v>
      </x:c>
      <x:c r="G206" s="24" t="str">
        <x:v>B扩展</x:v>
      </x:c>
      <x:c r="H206" s="24" t="str">
        <x:v>CONTINUOUS</x:v>
      </x:c>
      <x:c r="I206" s="24" t="str">
        <x:v>月</x:v>
      </x:c>
      <x:c r="J206" s="24" t="str">
        <x:v>计算值</x:v>
      </x:c>
      <x:c r="K206" s="24" t="str">
        <x:v>VALID</x:v>
      </x:c>
      <x:c r="L206" s="24" t="n">
        <x:v>13</x:v>
      </x:c>
      <x:c r="M206" s="24" t="str">
        <x:v>VALID</x:v>
      </x:c>
      <x:c r="N206" s="24" t="str">
        <x:v>OBSERVED_OR_CALCULATED</x:v>
      </x:c>
      <x:c r="O206" s="24" t="str">
        <x:v>符合Stage 3计算门槛。</x:v>
      </x:c>
      <x:c r="P206" s="24" t="n">
        <x:v>0</x:v>
      </x:c>
      <x:c r="Q206" s="24"/>
      <x:c r="R206" s="24"/>
      <x:c r="S206" s="24" t="str">
        <x:v>对1个相邻月份差取中位数。</x:v>
      </x:c>
      <x:c r="T206" s="24" t="str">
        <x:v>W7-OVR-920100-2022-DI; W7-OVR-920100-2023-DI</x:v>
      </x:c>
      <x:c r="U206" s="24"/>
      <x:c r="V206" s="24" t="str">
        <x:v>FROZEN_UNCHANGED</x:v>
      </x:c>
      <x:c r="W206" s="24" t="n">
        <x:v>0</x:v>
      </x:c>
    </x:row>
    <x:row r="207" ht="52" customHeight="1">
      <x:c r="A207" s="24" t="str">
        <x:v>920100|CV011</x:v>
      </x:c>
      <x:c r="B207" s="24" t="str">
        <x:v>920100</x:v>
      </x:c>
      <x:c r="C207" s="24" t="str">
        <x:v>三协电机</x:v>
      </x:c>
      <x:c r="D207" s="24" t="str">
        <x:v>CV011</x:v>
      </x:c>
      <x:c r="E207" s="24" t="str">
        <x:v>确认PE/VC参与标记</x:v>
      </x:c>
      <x:c r="F207" s="24" t="str">
        <x:v>PEVC参与</x:v>
      </x:c>
      <x:c r="G207" s="24" t="str">
        <x:v>A核心</x:v>
      </x:c>
      <x:c r="H207" s="24" t="str">
        <x:v>BINARY</x:v>
      </x:c>
      <x:c r="I207" s="24" t="str">
        <x:v>0/1</x:v>
      </x:c>
      <x:c r="J207" s="24" t="str">
        <x:v>研究判断派生</x:v>
      </x:c>
      <x:c r="K207" s="24" t="str">
        <x:v>VALID</x:v>
      </x:c>
      <x:c r="L207" s="24" t="n">
        <x:v>1</x:v>
      </x:c>
      <x:c r="M207" s="24" t="str">
        <x:v>VALID</x:v>
      </x:c>
      <x:c r="N207" s="24" t="str">
        <x:v>OBSERVED_OR_CALCULATED</x:v>
      </x:c>
      <x:c r="O207" s="24" t="str">
        <x:v>符合Stage 3计算门槛。</x:v>
      </x:c>
      <x:c r="P207" s="24" t="n">
        <x:v>0</x:v>
      </x:c>
      <x:c r="Q207" s="24"/>
      <x:c r="R207" s="24"/>
      <x:c r="S207" s="24" t="str">
        <x:v>confirmed_pevc_legal_entity_count=2。</x:v>
      </x:c>
      <x:c r="T207" s="24" t="str">
        <x:v>companies:920100</x:v>
      </x:c>
      <x:c r="U207" s="24"/>
      <x:c r="V207" s="24" t="str">
        <x:v>FROZEN_UNCHANGED</x:v>
      </x:c>
      <x:c r="W207" s="24" t="n">
        <x:v>0</x:v>
      </x:c>
    </x:row>
    <x:row r="208" ht="52" customHeight="1">
      <x:c r="A208" s="24" t="str">
        <x:v>920100|CV012</x:v>
      </x:c>
      <x:c r="B208" s="24" t="str">
        <x:v>920100</x:v>
      </x:c>
      <x:c r="C208" s="24" t="str">
        <x:v>三协电机</x:v>
      </x:c>
      <x:c r="D208" s="24" t="str">
        <x:v>CV012</x:v>
      </x:c>
      <x:c r="E208" s="24" t="str">
        <x:v>确认PE/VC法律主体数</x:v>
      </x:c>
      <x:c r="F208" s="24" t="str">
        <x:v>PEVC参与</x:v>
      </x:c>
      <x:c r="G208" s="24" t="str">
        <x:v>A核心</x:v>
      </x:c>
      <x:c r="H208" s="24" t="str">
        <x:v>INTEGER</x:v>
      </x:c>
      <x:c r="I208" s="24" t="str">
        <x:v>个</x:v>
      </x:c>
      <x:c r="J208" s="24" t="str">
        <x:v>计算值+研究判断</x:v>
      </x:c>
      <x:c r="K208" s="24" t="str">
        <x:v>VALID</x:v>
      </x:c>
      <x:c r="L208" s="24" t="n">
        <x:v>2</x:v>
      </x:c>
      <x:c r="M208" s="24" t="str">
        <x:v>VALID</x:v>
      </x:c>
      <x:c r="N208" s="24" t="str">
        <x:v>OBSERVED_OR_CALCULATED</x:v>
      </x:c>
      <x:c r="O208" s="24" t="str">
        <x:v>符合Stage 3计算门槛。</x:v>
      </x:c>
      <x:c r="P208" s="24" t="n">
        <x:v>0</x:v>
      </x:c>
      <x:c r="Q208" s="24"/>
      <x:c r="R208" s="24"/>
      <x:c r="S208" s="24" t="str">
        <x:v>读取公司层冻结确认PE/VC法律主体数。</x:v>
      </x:c>
      <x:c r="T208" s="24" t="str">
        <x:v>companies:920100</x:v>
      </x:c>
      <x:c r="U208" s="24"/>
      <x:c r="V208" s="24" t="str">
        <x:v>FROZEN_UNCHANGED</x:v>
      </x:c>
      <x:c r="W208" s="24" t="n">
        <x:v>0</x:v>
      </x:c>
    </x:row>
    <x:row r="209" ht="52" customHeight="1">
      <x:c r="A209" s="24" t="str">
        <x:v>920100|CV013</x:v>
      </x:c>
      <x:c r="B209" s="24" t="str">
        <x:v>920100</x:v>
      </x:c>
      <x:c r="C209" s="24" t="str">
        <x:v>三协电机</x:v>
      </x:c>
      <x:c r="D209" s="24" t="str">
        <x:v>CV013</x:v>
      </x:c>
      <x:c r="E209" s="24" t="str">
        <x:v>确认PE/VC占直接主体比重</x:v>
      </x:c>
      <x:c r="F209" s="24" t="str">
        <x:v>PEVC参与</x:v>
      </x:c>
      <x:c r="G209" s="24" t="str">
        <x:v>B扩展</x:v>
      </x:c>
      <x:c r="H209" s="24" t="str">
        <x:v>RATIO</x:v>
      </x:c>
      <x:c r="I209" s="24" t="str">
        <x:v>0–1</x:v>
      </x:c>
      <x:c r="J209" s="24" t="str">
        <x:v>计算值+研究判断</x:v>
      </x:c>
      <x:c r="K209" s="24" t="str">
        <x:v>VALID</x:v>
      </x:c>
      <x:c r="L209" s="24" t="n">
        <x:v>0.11764705882352941</x:v>
      </x:c>
      <x:c r="M209" s="24" t="str">
        <x:v>VALID</x:v>
      </x:c>
      <x:c r="N209" s="24" t="str">
        <x:v>OBSERVED_OR_CALCULATED</x:v>
      </x:c>
      <x:c r="O209" s="24" t="str">
        <x:v>符合Stage 3计算门槛。</x:v>
      </x:c>
      <x:c r="P209" s="24" t="n">
        <x:v>0</x:v>
      </x:c>
      <x:c r="Q209" s="24"/>
      <x:c r="R209" s="24"/>
      <x:c r="S209" s="24" t="str">
        <x:v>确认PE/VC法律主体数/直接参与法律主体数。</x:v>
      </x:c>
      <x:c r="T209" s="24" t="str">
        <x:v>companies:920100</x:v>
      </x:c>
      <x:c r="U209" s="24"/>
      <x:c r="V209" s="24" t="str">
        <x:v>FROZEN_UNCHANGED</x:v>
      </x:c>
      <x:c r="W209" s="24" t="n">
        <x:v>0</x:v>
      </x:c>
    </x:row>
    <x:row r="210" ht="52" customHeight="1">
      <x:c r="A210" s="24" t="str">
        <x:v>920100|CV014</x:v>
      </x:c>
      <x:c r="B210" s="24" t="str">
        <x:v>920100</x:v>
      </x:c>
      <x:c r="C210" s="24" t="str">
        <x:v>三协电机</x:v>
      </x:c>
      <x:c r="D210" s="24" t="str">
        <x:v>CV014</x:v>
      </x:c>
      <x:c r="E210" s="24" t="str">
        <x:v>确认PE/VC参与融资轮数</x:v>
      </x:c>
      <x:c r="F210" s="24" t="str">
        <x:v>PEVC参与深度</x:v>
      </x:c>
      <x:c r="G210" s="24" t="str">
        <x:v>B扩展</x:v>
      </x:c>
      <x:c r="H210" s="24" t="str">
        <x:v>INTEGER</x:v>
      </x:c>
      <x:c r="I210" s="24" t="str">
        <x:v>轮</x:v>
      </x:c>
      <x:c r="J210" s="24" t="str">
        <x:v>研究判断派生</x:v>
      </x:c>
      <x:c r="K210" s="24" t="str">
        <x:v>VALID</x:v>
      </x:c>
      <x:c r="L210" s="24" t="n">
        <x:v>1</x:v>
      </x:c>
      <x:c r="M210" s="24" t="str">
        <x:v>VALID</x:v>
      </x:c>
      <x:c r="N210" s="24" t="str">
        <x:v>OBSERVED_OR_CALCULATED</x:v>
      </x:c>
      <x:c r="O210" s="24" t="str">
        <x:v>符合Stage 3计算门槛。</x:v>
      </x:c>
      <x:c r="P210" s="24" t="n">
        <x:v>0</x:v>
      </x:c>
      <x:c r="Q210" s="24"/>
      <x:c r="R210" s="24"/>
      <x:c r="S210" s="24" t="str">
        <x:v>连接融资轮→交易→party→PEVC_CONFIRMED，并按event_id去重。</x:v>
      </x:c>
      <x:c r="T210" s="24" t="str">
        <x:v>W7-OVR-920100-2022-DI-T001-P01; W7-OVR-920100-2022-DI-T001-P02</x:v>
      </x:c>
      <x:c r="U210" s="24"/>
      <x:c r="V210" s="24" t="str">
        <x:v>FROZEN_UNCHANGED</x:v>
      </x:c>
      <x:c r="W210" s="24" t="n">
        <x:v>0</x:v>
      </x:c>
    </x:row>
    <x:row r="211" ht="52" customHeight="1">
      <x:c r="A211" s="24" t="str">
        <x:v>920100|CV015</x:v>
      </x:c>
      <x:c r="B211" s="24" t="str">
        <x:v>920100</x:v>
      </x:c>
      <x:c r="C211" s="24" t="str">
        <x:v>三协电机</x:v>
      </x:c>
      <x:c r="D211" s="24" t="str">
        <x:v>CV015</x:v>
      </x:c>
      <x:c r="E211" s="24" t="str">
        <x:v>首次确认PE/VC进入日期</x:v>
      </x:c>
      <x:c r="F211" s="24" t="str">
        <x:v>PEVC进入时点</x:v>
      </x:c>
      <x:c r="G211" s="24" t="str">
        <x:v>A核心</x:v>
      </x:c>
      <x:c r="H211" s="24" t="str">
        <x:v>DATE_OR_MONTH</x:v>
      </x:c>
      <x:c r="I211" s="24" t="str">
        <x:v>日期或年月</x:v>
      </x:c>
      <x:c r="J211" s="24" t="str">
        <x:v>研究判断派生+Week9补充研究层</x:v>
      </x:c>
      <x:c r="K211" s="24" t="str">
        <x:v>NOT_COMPUTABLE</x:v>
      </x:c>
      <x:c r="L211" s="24" t="str">
        <x:v>2022-09-01</x:v>
      </x:c>
      <x:c r="M211" s="24" t="str">
        <x:v>VALID</x:v>
      </x:c>
      <x:c r="N211" s="24" t="str">
        <x:v>REPAIRED_AND_FROZEN_STAGE4C</x:v>
      </x:c>
      <x:c r="O211" s="24" t="str">
        <x:v>经S4B3证据闸门修复并在Stage4C冻结。</x:v>
      </x:c>
      <x:c r="P211" s="24" t="n">
        <x:v>0</x:v>
      </x:c>
      <x:c r="Q211" s="24" t="str">
        <x:v>W9_SUPPLEMENTARY_PATH_SUMMARY_ONLY</x:v>
      </x:c>
      <x:c r="R211" s="24" t="str">
        <x:v>两条路径在Week9补充研究层物化；W8-CAN-015摘要级证据限制继续有效。</x:v>
      </x:c>
      <x:c r="S211" s="24" t="str">
        <x:v>两条确认PE/VC路径的最早交易完成日。</x:v>
      </x:c>
      <x:c r="T211" s="24" t="str">
        <x:v>SUP-PATH-920100-2022-001; SUP-PATH-920100-2022-002</x:v>
      </x:c>
      <x:c r="U211" s="24" t="str">
        <x:v>S4B3</x:v>
      </x:c>
      <x:c r="V211" s="24" t="str">
        <x:v>FROZEN_REPAIRED</x:v>
      </x:c>
      <x:c r="W211" s="24" t="n">
        <x:v>1</x:v>
      </x:c>
    </x:row>
    <x:row r="212" ht="52" customHeight="1">
      <x:c r="A212" s="24" t="str">
        <x:v>920100|CV016</x:v>
      </x:c>
      <x:c r="B212" s="24" t="str">
        <x:v>920100</x:v>
      </x:c>
      <x:c r="C212" s="24" t="str">
        <x:v>三协电机</x:v>
      </x:c>
      <x:c r="D212" s="24" t="str">
        <x:v>CV016</x:v>
      </x:c>
      <x:c r="E212" s="24" t="str">
        <x:v>首次确认PE/VC进入年份</x:v>
      </x:c>
      <x:c r="F212" s="24" t="str">
        <x:v>PEVC进入时点</x:v>
      </x:c>
      <x:c r="G212" s="24" t="str">
        <x:v>B扩展</x:v>
      </x:c>
      <x:c r="H212" s="24" t="str">
        <x:v>INTEGER</x:v>
      </x:c>
      <x:c r="I212" s="24" t="str">
        <x:v>年</x:v>
      </x:c>
      <x:c r="J212" s="24" t="str">
        <x:v>计算值+研究判断+Week9补充研究层</x:v>
      </x:c>
      <x:c r="K212" s="24" t="str">
        <x:v>NOT_COMPUTABLE</x:v>
      </x:c>
      <x:c r="L212" s="24" t="n">
        <x:v>2022</x:v>
      </x:c>
      <x:c r="M212" s="24" t="str">
        <x:v>VALID</x:v>
      </x:c>
      <x:c r="N212" s="24" t="str">
        <x:v>REPAIRED_AND_FROZEN_STAGE4C</x:v>
      </x:c>
      <x:c r="O212" s="24" t="str">
        <x:v>经S4B3证据闸门修复并在Stage4C冻结。</x:v>
      </x:c>
      <x:c r="P212" s="24" t="n">
        <x:v>0</x:v>
      </x:c>
      <x:c r="Q212" s="24" t="str">
        <x:v>W9_SUPPLEMENTARY_PATH_SUMMARY_ONLY</x:v>
      </x:c>
      <x:c r="R212" s="24" t="str">
        <x:v>两条路径在Week9补充研究层物化；W8-CAN-015摘要级证据限制继续有效。</x:v>
      </x:c>
      <x:c r="S212" s="24" t="str">
        <x:v>从CV015修复日期提取年份。</x:v>
      </x:c>
      <x:c r="T212" s="24" t="str">
        <x:v>SUP-PATH-920100-2022-001; SUP-PATH-920100-2022-002</x:v>
      </x:c>
      <x:c r="U212" s="24" t="str">
        <x:v>S4B3</x:v>
      </x:c>
      <x:c r="V212" s="24" t="str">
        <x:v>FROZEN_REPAIRED</x:v>
      </x:c>
      <x:c r="W212" s="24" t="n">
        <x:v>1</x:v>
      </x:c>
    </x:row>
    <x:row r="213" ht="52" customHeight="1">
      <x:c r="A213" s="24" t="str">
        <x:v>920100|CV017</x:v>
      </x:c>
      <x:c r="B213" s="24" t="str">
        <x:v>920100</x:v>
      </x:c>
      <x:c r="C213" s="24" t="str">
        <x:v>三协电机</x:v>
      </x:c>
      <x:c r="D213" s="24" t="str">
        <x:v>CV017</x:v>
      </x:c>
      <x:c r="E213" s="24" t="str">
        <x:v>首次确认PE/VC融资轮位置</x:v>
      </x:c>
      <x:c r="F213" s="24" t="str">
        <x:v>PEVC进入时点</x:v>
      </x:c>
      <x:c r="G213" s="24" t="str">
        <x:v>B扩展</x:v>
      </x:c>
      <x:c r="H213" s="24" t="str">
        <x:v>RATIO</x:v>
      </x:c>
      <x:c r="I213" s="24" t="str">
        <x:v>0–1</x:v>
      </x:c>
      <x:c r="J213" s="24" t="str">
        <x:v>研究判断派生</x:v>
      </x:c>
      <x:c r="K213" s="24" t="str">
        <x:v>VALID</x:v>
      </x:c>
      <x:c r="L213" s="24" t="n">
        <x:v>0.5</x:v>
      </x:c>
      <x:c r="M213" s="24" t="str">
        <x:v>VALID</x:v>
      </x:c>
      <x:c r="N213" s="24" t="str">
        <x:v>OBSERVED_OR_CALCULATED</x:v>
      </x:c>
      <x:c r="O213" s="24" t="str">
        <x:v>符合Stage 3计算门槛。</x:v>
      </x:c>
      <x:c r="P213" s="24" t="n">
        <x:v>0</x:v>
      </x:c>
      <x:c r="Q213" s="24"/>
      <x:c r="R213" s="24"/>
      <x:c r="S213" s="24" t="str">
        <x:v>首次确认PE/VC融资轮序位=1，总轮数=2。</x:v>
      </x:c>
      <x:c r="T213" s="24" t="str">
        <x:v>W7-OVR-920100-2022-DI-T001-P01; W7-OVR-920100-2022-DI-T001-P02</x:v>
      </x:c>
      <x:c r="U213" s="24"/>
      <x:c r="V213" s="24" t="str">
        <x:v>FROZEN_UNCHANGED</x:v>
      </x:c>
      <x:c r="W213" s="24" t="n">
        <x:v>0</x:v>
      </x:c>
    </x:row>
    <x:row r="214" ht="52" customHeight="1">
      <x:c r="A214" s="24" t="str">
        <x:v>920100|CV018</x:v>
      </x:c>
      <x:c r="B214" s="24" t="str">
        <x:v>920100</x:v>
      </x:c>
      <x:c r="C214" s="24" t="str">
        <x:v>三协电机</x:v>
      </x:c>
      <x:c r="D214" s="24" t="str">
        <x:v>CV018</x:v>
      </x:c>
      <x:c r="E214" s="24" t="str">
        <x:v>确认PE/VC间接路径标记</x:v>
      </x:c>
      <x:c r="F214" s="24" t="str">
        <x:v>投资路径复杂度</x:v>
      </x:c>
      <x:c r="G214" s="24" t="str">
        <x:v>B扩展</x:v>
      </x:c>
      <x:c r="H214" s="24" t="str">
        <x:v>BINARY</x:v>
      </x:c>
      <x:c r="I214" s="24" t="str">
        <x:v>0/1</x:v>
      </x:c>
      <x:c r="J214" s="24" t="str">
        <x:v>研究判断派生+Week9补充研究层</x:v>
      </x:c>
      <x:c r="K214" s="24" t="str">
        <x:v>NOT_COMPUTABLE</x:v>
      </x:c>
      <x:c r="L214" s="24" t="n">
        <x:v>0</x:v>
      </x:c>
      <x:c r="M214" s="24" t="str">
        <x:v>VALID</x:v>
      </x:c>
      <x:c r="N214" s="24" t="str">
        <x:v>REPAIRED_AND_FROZEN_STAGE4C</x:v>
      </x:c>
      <x:c r="O214" s="24" t="str">
        <x:v>经S4B3证据闸门修复并在Stage4C冻结。</x:v>
      </x:c>
      <x:c r="P214" s="24" t="n">
        <x:v>1</x:v>
      </x:c>
      <x:c r="Q214" s="24" t="str">
        <x:v>W9_SUPPLEMENTARY_PATH_SUMMARY_ONLY</x:v>
      </x:c>
      <x:c r="R214" s="24" t="str">
        <x:v>两只确认PE/VC主体均已覆盖且路径均为DIRECT；0是显式零，不是缺失填充。</x:v>
      </x:c>
      <x:c r="S214" s="24" t="str">
        <x:v>完整覆盖2个确认PE/VC主体后，间接路径计数为0。</x:v>
      </x:c>
      <x:c r="T214" s="24" t="str">
        <x:v>SUP-PATH-920100-2022-001; SUP-PATH-920100-2022-002</x:v>
      </x:c>
      <x:c r="U214" s="24" t="str">
        <x:v>S4B3</x:v>
      </x:c>
      <x:c r="V214" s="24" t="str">
        <x:v>FROZEN_REPAIRED</x:v>
      </x:c>
      <x:c r="W214" s="24" t="n">
        <x:v>1</x:v>
      </x:c>
    </x:row>
    <x:row r="215" ht="52" customHeight="1">
      <x:c r="A215" s="24" t="str">
        <x:v>920100|CV019</x:v>
      </x:c>
      <x:c r="B215" s="24" t="str">
        <x:v>920100</x:v>
      </x:c>
      <x:c r="C215" s="24" t="str">
        <x:v>三协电机</x:v>
      </x:c>
      <x:c r="D215" s="24" t="str">
        <x:v>CV019</x:v>
      </x:c>
      <x:c r="E215" s="24" t="str">
        <x:v>确认PE/VC进入方式多样性</x:v>
      </x:c>
      <x:c r="F215" s="24" t="str">
        <x:v>PEVC进入方式</x:v>
      </x:c>
      <x:c r="G215" s="24" t="str">
        <x:v>B扩展</x:v>
      </x:c>
      <x:c r="H215" s="24" t="str">
        <x:v>INTEGER</x:v>
      </x:c>
      <x:c r="I215" s="24" t="str">
        <x:v>种</x:v>
      </x:c>
      <x:c r="J215" s="24" t="str">
        <x:v>研究判断派生+Week9补充研究层</x:v>
      </x:c>
      <x:c r="K215" s="24" t="str">
        <x:v>NOT_COMPUTABLE</x:v>
      </x:c>
      <x:c r="L215" s="24" t="n">
        <x:v>1</x:v>
      </x:c>
      <x:c r="M215" s="24" t="str">
        <x:v>VALID</x:v>
      </x:c>
      <x:c r="N215" s="24" t="str">
        <x:v>REPAIRED_AND_FROZEN_STAGE4C</x:v>
      </x:c>
      <x:c r="O215" s="24" t="str">
        <x:v>经S4B3证据闸门修复并在Stage4C冻结。</x:v>
      </x:c>
      <x:c r="P215" s="24" t="n">
        <x:v>0</x:v>
      </x:c>
      <x:c r="Q215" s="24" t="str">
        <x:v>W9_SUPPLEMENTARY_PATH_SUMMARY_ONLY</x:v>
      </x:c>
      <x:c r="R215" s="24" t="str">
        <x:v>两条路径均为定向发行进入；摘要级证据限制继续有效。</x:v>
      </x:c>
      <x:c r="S215" s="24" t="str">
        <x:v>确认PE/VC路径的非空entry_method去重数为1。</x:v>
      </x:c>
      <x:c r="T215" s="24" t="str">
        <x:v>SUP-PATH-920100-2022-001; SUP-PATH-920100-2022-002</x:v>
      </x:c>
      <x:c r="U215" s="24" t="str">
        <x:v>S4B3</x:v>
      </x:c>
      <x:c r="V215" s="24" t="str">
        <x:v>FROZEN_REPAIRED</x:v>
      </x:c>
      <x:c r="W215" s="24" t="n">
        <x:v>1</x:v>
      </x:c>
    </x:row>
    <x:row r="216" ht="52" customHeight="1">
      <x:c r="A216" s="24" t="str">
        <x:v>920100|CV020</x:v>
      </x:c>
      <x:c r="B216" s="24" t="str">
        <x:v>920100</x:v>
      </x:c>
      <x:c r="C216" s="24" t="str">
        <x:v>三协电机</x:v>
      </x:c>
      <x:c r="D216" s="24" t="str">
        <x:v>CV020</x:v>
      </x:c>
      <x:c r="E216" s="24" t="str">
        <x:v>直接参与法律主体数</x:v>
      </x:c>
      <x:c r="F216" s="24" t="str">
        <x:v>参与结构规模</x:v>
      </x:c>
      <x:c r="G216" s="24" t="str">
        <x:v>A核心</x:v>
      </x:c>
      <x:c r="H216" s="24" t="str">
        <x:v>INTEGER</x:v>
      </x:c>
      <x:c r="I216" s="24" t="str">
        <x:v>个</x:v>
      </x:c>
      <x:c r="J216" s="24" t="str">
        <x:v>计算值</x:v>
      </x:c>
      <x:c r="K216" s="24" t="str">
        <x:v>VALID</x:v>
      </x:c>
      <x:c r="L216" s="24" t="n">
        <x:v>17</x:v>
      </x:c>
      <x:c r="M216" s="24" t="str">
        <x:v>VALID</x:v>
      </x:c>
      <x:c r="N216" s="24" t="str">
        <x:v>OBSERVED_OR_CALCULATED</x:v>
      </x:c>
      <x:c r="O216" s="24" t="str">
        <x:v>符合Stage 3计算门槛。</x:v>
      </x:c>
      <x:c r="P216" s="24" t="n">
        <x:v>0</x:v>
      </x:c>
      <x:c r="Q216" s="24"/>
      <x:c r="R216" s="24"/>
      <x:c r="S216" s="24" t="str">
        <x:v>读取公司层冻结直接参与法律主体数。</x:v>
      </x:c>
      <x:c r="T216" s="24" t="str">
        <x:v>companies:920100</x:v>
      </x:c>
      <x:c r="U216" s="24"/>
      <x:c r="V216" s="24" t="str">
        <x:v>FROZEN_UNCHANGED</x:v>
      </x:c>
      <x:c r="W216" s="24" t="n">
        <x:v>0</x:v>
      </x:c>
    </x:row>
    <x:row r="217" ht="52" customHeight="1">
      <x:c r="A217" s="24" t="str">
        <x:v>920100|CV021</x:v>
      </x:c>
      <x:c r="B217" s="24" t="str">
        <x:v>920100</x:v>
      </x:c>
      <x:c r="C217" s="24" t="str">
        <x:v>三协电机</x:v>
      </x:c>
      <x:c r="D217" s="24" t="str">
        <x:v>CV021</x:v>
      </x:c>
      <x:c r="E217" s="24" t="str">
        <x:v>融资投资方法律主体数</x:v>
      </x:c>
      <x:c r="F217" s="24" t="str">
        <x:v>融资参与广度</x:v>
      </x:c>
      <x:c r="G217" s="24" t="str">
        <x:v>B扩展</x:v>
      </x:c>
      <x:c r="H217" s="24" t="str">
        <x:v>INTEGER</x:v>
      </x:c>
      <x:c r="I217" s="24" t="str">
        <x:v>个</x:v>
      </x:c>
      <x:c r="J217" s="24" t="str">
        <x:v>计算值</x:v>
      </x:c>
      <x:c r="K217" s="24" t="str">
        <x:v>VALID</x:v>
      </x:c>
      <x:c r="L217" s="24" t="n">
        <x:v>2</x:v>
      </x:c>
      <x:c r="M217" s="24" t="str">
        <x:v>VALID</x:v>
      </x:c>
      <x:c r="N217" s="24" t="str">
        <x:v>OBSERVED_OR_CALCULATED</x:v>
      </x:c>
      <x:c r="O217" s="24" t="str">
        <x:v>符合Stage 3计算门槛。</x:v>
      </x:c>
      <x:c r="P217" s="24" t="n">
        <x:v>0</x:v>
      </x:c>
      <x:c r="Q217" s="24"/>
      <x:c r="R217" s="24"/>
      <x:c r="S217" s="24" t="str">
        <x:v>融资轮相关交易中筛选INVESTOR，canonical_entity_id优先、否则entity_id去重。</x:v>
      </x:c>
      <x:c r="T217" s="24" t="str">
        <x:v>W7-OVR-920100-2022-DI-T001-P01; W7-OVR-920100-2022-DI-T001-P02</x:v>
      </x:c>
      <x:c r="U217" s="24"/>
      <x:c r="V217" s="24" t="str">
        <x:v>FROZEN_UNCHANGED</x:v>
      </x:c>
      <x:c r="W217" s="24" t="n">
        <x:v>0</x:v>
      </x:c>
    </x:row>
    <x:row r="218" ht="52" customHeight="1">
      <x:c r="A218" s="24" t="str">
        <x:v>920100|CV022</x:v>
      </x:c>
      <x:c r="B218" s="24" t="str">
        <x:v>920100</x:v>
      </x:c>
      <x:c r="C218" s="24" t="str">
        <x:v>三协电机</x:v>
      </x:c>
      <x:c r="D218" s="24" t="str">
        <x:v>CV022</x:v>
      </x:c>
      <x:c r="E218" s="24" t="str">
        <x:v>每轮融资投资方密度</x:v>
      </x:c>
      <x:c r="F218" s="24" t="str">
        <x:v>融资参与密度</x:v>
      </x:c>
      <x:c r="G218" s="24" t="str">
        <x:v>B扩展</x:v>
      </x:c>
      <x:c r="H218" s="24" t="str">
        <x:v>RATIO</x:v>
      </x:c>
      <x:c r="I218" s="24" t="str">
        <x:v>个/轮</x:v>
      </x:c>
      <x:c r="J218" s="24" t="str">
        <x:v>计算值</x:v>
      </x:c>
      <x:c r="K218" s="24" t="str">
        <x:v>VALID</x:v>
      </x:c>
      <x:c r="L218" s="24" t="n">
        <x:v>1</x:v>
      </x:c>
      <x:c r="M218" s="24" t="str">
        <x:v>VALID</x:v>
      </x:c>
      <x:c r="N218" s="24" t="str">
        <x:v>OBSERVED_OR_CALCULATED</x:v>
      </x:c>
      <x:c r="O218" s="24" t="str">
        <x:v>符合Stage 3计算门槛。</x:v>
      </x:c>
      <x:c r="P218" s="24" t="n">
        <x:v>0</x:v>
      </x:c>
      <x:c r="Q218" s="24"/>
      <x:c r="R218" s="24"/>
      <x:c r="S218" s="24" t="str">
        <x:v>融资投资方法律主体数/融资轮数。</x:v>
      </x:c>
      <x:c r="T218" s="24" t="str">
        <x:v>W7-OVR-920100-2022-DI-T001-P01; W7-OVR-920100-2022-DI-T001-P02</x:v>
      </x:c>
      <x:c r="U218" s="24"/>
      <x:c r="V218" s="24" t="str">
        <x:v>FROZEN_UNCHANGED</x:v>
      </x:c>
      <x:c r="W218" s="24" t="n">
        <x:v>0</x:v>
      </x:c>
    </x:row>
    <x:row r="219" ht="52" customHeight="1">
      <x:c r="A219" s="24" t="str">
        <x:v>920100|CV023</x:v>
      </x:c>
      <x:c r="B219" s="24" t="str">
        <x:v>920100</x:v>
      </x:c>
      <x:c r="C219" s="24" t="str">
        <x:v>三协电机</x:v>
      </x:c>
      <x:c r="D219" s="24" t="str">
        <x:v>CV023</x:v>
      </x:c>
      <x:c r="E219" s="24" t="str">
        <x:v>融资方式多样性</x:v>
      </x:c>
      <x:c r="F219" s="24" t="str">
        <x:v>融资机制</x:v>
      </x:c>
      <x:c r="G219" s="24" t="str">
        <x:v>B扩展</x:v>
      </x:c>
      <x:c r="H219" s="24" t="str">
        <x:v>INTEGER</x:v>
      </x:c>
      <x:c r="I219" s="24" t="str">
        <x:v>种</x:v>
      </x:c>
      <x:c r="J219" s="24" t="str">
        <x:v>计算值</x:v>
      </x:c>
      <x:c r="K219" s="24" t="str">
        <x:v>VALID</x:v>
      </x:c>
      <x:c r="L219" s="24" t="n">
        <x:v>1</x:v>
      </x:c>
      <x:c r="M219" s="24" t="str">
        <x:v>VALID</x:v>
      </x:c>
      <x:c r="N219" s="24" t="str">
        <x:v>OBSERVED_OR_CALCULATED</x:v>
      </x:c>
      <x:c r="O219" s="24" t="str">
        <x:v>符合Stage 3计算门槛。</x:v>
      </x:c>
      <x:c r="P219" s="24" t="n">
        <x:v>0</x:v>
      </x:c>
      <x:c r="Q219" s="24"/>
      <x:c r="R219" s="24"/>
      <x:c r="S219" s="24" t="str">
        <x:v>融资交易组成标准化方式=['DIRECTIONAL_ISSUANCE']。</x:v>
      </x:c>
      <x:c r="T219" s="24" t="str">
        <x:v>W7-OVR-920100-2022-DI-T001; W7-OVR-920100-2023-DI-T001</x:v>
      </x:c>
      <x:c r="U219" s="24"/>
      <x:c r="V219" s="24" t="str">
        <x:v>FROZEN_UNCHANGED</x:v>
      </x:c>
      <x:c r="W219" s="24" t="n">
        <x:v>0</x:v>
      </x:c>
    </x:row>
    <x:row r="220" ht="52" customHeight="1">
      <x:c r="A220" s="24" t="str">
        <x:v>920100|CV024</x:v>
      </x:c>
      <x:c r="B220" s="24" t="str">
        <x:v>920100</x:v>
      </x:c>
      <x:c r="C220" s="24" t="str">
        <x:v>三协电机</x:v>
      </x:c>
      <x:c r="D220" s="24" t="str">
        <x:v>CV024</x:v>
      </x:c>
      <x:c r="E220" s="24" t="str">
        <x:v>股权转让交易数</x:v>
      </x:c>
      <x:c r="F220" s="24" t="str">
        <x:v>二级股权流动</x:v>
      </x:c>
      <x:c r="G220" s="24" t="str">
        <x:v>A核心</x:v>
      </x:c>
      <x:c r="H220" s="24" t="str">
        <x:v>INTEGER</x:v>
      </x:c>
      <x:c r="I220" s="24" t="str">
        <x:v>笔</x:v>
      </x:c>
      <x:c r="J220" s="24" t="str">
        <x:v>计算值</x:v>
      </x:c>
      <x:c r="K220" s="24" t="str">
        <x:v>VALID</x:v>
      </x:c>
      <x:c r="L220" s="24" t="n">
        <x:v>0</x:v>
      </x:c>
      <x:c r="M220" s="24" t="str">
        <x:v>VALID</x:v>
      </x:c>
      <x:c r="N220" s="24" t="str">
        <x:v>OBSERVED_OR_CALCULATED</x:v>
      </x:c>
      <x:c r="O220" s="24" t="str">
        <x:v>符合Stage 3计算门槛。</x:v>
      </x:c>
      <x:c r="P220" s="24" t="n">
        <x:v>1</x:v>
      </x:c>
      <x:c r="Q220" s="24"/>
      <x:c r="R220" s="24"/>
      <x:c r="S220" s="24" t="str">
        <x:v>按EQUITY_TRANSFER交易记录计数。</x:v>
      </x:c>
      <x:c r="T220" s="24"/>
      <x:c r="U220" s="24"/>
      <x:c r="V220" s="24" t="str">
        <x:v>FROZEN_UNCHANGED</x:v>
      </x:c>
      <x:c r="W220" s="24" t="n">
        <x:v>0</x:v>
      </x:c>
    </x:row>
    <x:row r="221" ht="52" customHeight="1">
      <x:c r="A221" s="24" t="str">
        <x:v>920100|CV025</x:v>
      </x:c>
      <x:c r="B221" s="24" t="str">
        <x:v>920100</x:v>
      </x:c>
      <x:c r="C221" s="24" t="str">
        <x:v>三协电机</x:v>
      </x:c>
      <x:c r="D221" s="24" t="str">
        <x:v>CV025</x:v>
      </x:c>
      <x:c r="E221" s="24" t="str">
        <x:v>可核验股权转让对价下限</x:v>
      </x:c>
      <x:c r="F221" s="24" t="str">
        <x:v>二级股权流动</x:v>
      </x:c>
      <x:c r="G221" s="24" t="str">
        <x:v>A核心</x:v>
      </x:c>
      <x:c r="H221" s="24" t="str">
        <x:v>CONTINUOUS</x:v>
      </x:c>
      <x:c r="I221" s="24" t="str">
        <x:v>万元人民币</x:v>
      </x:c>
      <x:c r="J221" s="24" t="str">
        <x:v>标准化值+计算值</x:v>
      </x:c>
      <x:c r="K221" s="24" t="str">
        <x:v>STRUCTURAL_NA</x:v>
      </x:c>
      <x:c r="L221" s="24"/>
      <x:c r="M221" s="24" t="str">
        <x:v>STRUCTURAL_NA</x:v>
      </x:c>
      <x:c r="N221" s="24" t="str">
        <x:v>STRUCTURAL_NA_TRANSFER_NOT_APPLICABLE</x:v>
      </x:c>
      <x:c r="O221" s="24" t="str">
        <x:v>公司层转让金额状态为NOT_APPLICABLE。</x:v>
      </x:c>
      <x:c r="P221" s="24" t="n">
        <x:v>0</x:v>
      </x:c>
      <x:c r="Q221" s="24"/>
      <x:c r="R221" s="24"/>
      <x:c r="S221" s="24" t="str">
        <x:v>不将不适用金额补0。</x:v>
      </x:c>
      <x:c r="T221" s="24" t="str">
        <x:v>companies:920100</x:v>
      </x:c>
      <x:c r="U221" s="24"/>
      <x:c r="V221" s="24" t="str">
        <x:v>FROZEN_UNCHANGED</x:v>
      </x:c>
      <x:c r="W221" s="24" t="n">
        <x:v>0</x:v>
      </x:c>
    </x:row>
    <x:row r="222" ht="52" customHeight="1">
      <x:c r="A222" s="24" t="str">
        <x:v>920100|CV026</x:v>
      </x:c>
      <x:c r="B222" s="24" t="str">
        <x:v>920100</x:v>
      </x:c>
      <x:c r="C222" s="24" t="str">
        <x:v>三协电机</x:v>
      </x:c>
      <x:c r="D222" s="24" t="str">
        <x:v>CV026</x:v>
      </x:c>
      <x:c r="E222" s="24" t="str">
        <x:v>转让对价与融资金额比</x:v>
      </x:c>
      <x:c r="F222" s="24" t="str">
        <x:v>二级股权流动</x:v>
      </x:c>
      <x:c r="G222" s="24" t="str">
        <x:v>B扩展</x:v>
      </x:c>
      <x:c r="H222" s="24" t="str">
        <x:v>RATIO</x:v>
      </x:c>
      <x:c r="I222" s="24" t="str">
        <x:v>0–∞</x:v>
      </x:c>
      <x:c r="J222" s="24" t="str">
        <x:v>计算值</x:v>
      </x:c>
      <x:c r="K222" s="24" t="str">
        <x:v>STRUCTURAL_NA</x:v>
      </x:c>
      <x:c r="L222" s="24"/>
      <x:c r="M222" s="24" t="str">
        <x:v>STRUCTURAL_NA</x:v>
      </x:c>
      <x:c r="N222" s="24" t="str">
        <x:v>STRUCTURAL_NA_TRANSFER_NOT_APPLICABLE</x:v>
      </x:c>
      <x:c r="O222" s="24" t="str">
        <x:v>转让金额不适用，因此转让/融资比率不适用。</x:v>
      </x:c>
      <x:c r="P222" s="24" t="n">
        <x:v>0</x:v>
      </x:c>
      <x:c r="Q222" s="24"/>
      <x:c r="R222" s="24"/>
      <x:c r="S222" s="24" t="str">
        <x:v>不将不适用比率补0。</x:v>
      </x:c>
      <x:c r="T222" s="24" t="str">
        <x:v>companies:920100</x:v>
      </x:c>
      <x:c r="U222" s="24"/>
      <x:c r="V222" s="24" t="str">
        <x:v>FROZEN_UNCHANGED</x:v>
      </x:c>
      <x:c r="W222" s="24" t="n">
        <x:v>0</x:v>
      </x:c>
    </x:row>
    <x:row r="223" ht="52" customHeight="1">
      <x:c r="A223" s="24" t="str">
        <x:v>920100|CV027</x:v>
      </x:c>
      <x:c r="B223" s="24" t="str">
        <x:v>920100</x:v>
      </x:c>
      <x:c r="C223" s="24" t="str">
        <x:v>三协电机</x:v>
      </x:c>
      <x:c r="D223" s="24" t="str">
        <x:v>CV027</x:v>
      </x:c>
      <x:c r="E223" s="24" t="str">
        <x:v>金额已知融资轮数</x:v>
      </x:c>
      <x:c r="F223" s="24" t="str">
        <x:v>数据可用性</x:v>
      </x:c>
      <x:c r="G223" s="24" t="str">
        <x:v>Q质量</x:v>
      </x:c>
      <x:c r="H223" s="24" t="str">
        <x:v>INTEGER</x:v>
      </x:c>
      <x:c r="I223" s="24" t="str">
        <x:v>轮</x:v>
      </x:c>
      <x:c r="J223" s="24" t="str">
        <x:v>计算值</x:v>
      </x:c>
      <x:c r="K223" s="24" t="str">
        <x:v>VALID</x:v>
      </x:c>
      <x:c r="L223" s="24" t="n">
        <x:v>2</x:v>
      </x:c>
      <x:c r="M223" s="24" t="str">
        <x:v>VALID</x:v>
      </x:c>
      <x:c r="N223" s="24" t="str">
        <x:v>OBSERVED_OR_CALCULATED</x:v>
      </x:c>
      <x:c r="O223" s="24" t="str">
        <x:v>符合Stage 3计算门槛。</x:v>
      </x:c>
      <x:c r="P223" s="24" t="n">
        <x:v>0</x:v>
      </x:c>
      <x:c r="Q223" s="24"/>
      <x:c r="R223" s="24"/>
      <x:c r="S223" s="24" t="str">
        <x:v>融资轮中金额非null记录数。</x:v>
      </x:c>
      <x:c r="T223" s="24" t="str">
        <x:v>W7-OVR-920100-2022-DI; W7-OVR-920100-2023-DI</x:v>
      </x:c>
      <x:c r="U223" s="24"/>
      <x:c r="V223" s="24" t="str">
        <x:v>FROZEN_UNCHANGED</x:v>
      </x:c>
      <x:c r="W223" s="24" t="n">
        <x:v>0</x:v>
      </x:c>
    </x:row>
    <x:row r="224" ht="52" customHeight="1">
      <x:c r="A224" s="24" t="str">
        <x:v>920100|CV028</x:v>
      </x:c>
      <x:c r="B224" s="24" t="str">
        <x:v>920100</x:v>
      </x:c>
      <x:c r="C224" s="24" t="str">
        <x:v>三协电机</x:v>
      </x:c>
      <x:c r="D224" s="24" t="str">
        <x:v>CV028</x:v>
      </x:c>
      <x:c r="E224" s="24" t="str">
        <x:v>融资轮金额覆盖率</x:v>
      </x:c>
      <x:c r="F224" s="24" t="str">
        <x:v>数据可用性</x:v>
      </x:c>
      <x:c r="G224" s="24" t="str">
        <x:v>Q质量</x:v>
      </x:c>
      <x:c r="H224" s="24" t="str">
        <x:v>RATIO</x:v>
      </x:c>
      <x:c r="I224" s="24" t="str">
        <x:v>0–1</x:v>
      </x:c>
      <x:c r="J224" s="24" t="str">
        <x:v>计算值</x:v>
      </x:c>
      <x:c r="K224" s="24" t="str">
        <x:v>VALID</x:v>
      </x:c>
      <x:c r="L224" s="24" t="n">
        <x:v>1</x:v>
      </x:c>
      <x:c r="M224" s="24" t="str">
        <x:v>VALID</x:v>
      </x:c>
      <x:c r="N224" s="24" t="str">
        <x:v>OBSERVED_OR_CALCULATED</x:v>
      </x:c>
      <x:c r="O224" s="24" t="str">
        <x:v>符合Stage 3计算门槛。</x:v>
      </x:c>
      <x:c r="P224" s="24" t="n">
        <x:v>0</x:v>
      </x:c>
      <x:c r="Q224" s="24"/>
      <x:c r="R224" s="24"/>
      <x:c r="S224" s="24" t="str">
        <x:v>金额非null融资轮数/融资轮总数。</x:v>
      </x:c>
      <x:c r="T224" s="24" t="str">
        <x:v>W7-OVR-920100-2022-DI; W7-OVR-920100-2023-DI</x:v>
      </x:c>
      <x:c r="U224" s="24"/>
      <x:c r="V224" s="24" t="str">
        <x:v>FROZEN_UNCHANGED</x:v>
      </x:c>
      <x:c r="W224" s="24" t="n">
        <x:v>0</x:v>
      </x:c>
    </x:row>
    <x:row r="225" ht="52" customHeight="1">
      <x:c r="A225" s="24" t="str">
        <x:v>920100|CV029</x:v>
      </x:c>
      <x:c r="B225" s="24" t="str">
        <x:v>920100</x:v>
      </x:c>
      <x:c r="C225" s="24" t="str">
        <x:v>三协电机</x:v>
      </x:c>
      <x:c r="D225" s="24" t="str">
        <x:v>CV029</x:v>
      </x:c>
      <x:c r="E225" s="24" t="str">
        <x:v>融资轮日期覆盖率</x:v>
      </x:c>
      <x:c r="F225" s="24" t="str">
        <x:v>数据可用性</x:v>
      </x:c>
      <x:c r="G225" s="24" t="str">
        <x:v>Q质量</x:v>
      </x:c>
      <x:c r="H225" s="24" t="str">
        <x:v>RATIO</x:v>
      </x:c>
      <x:c r="I225" s="24" t="str">
        <x:v>0–1</x:v>
      </x:c>
      <x:c r="J225" s="24" t="str">
        <x:v>计算值</x:v>
      </x:c>
      <x:c r="K225" s="24" t="str">
        <x:v>VALID</x:v>
      </x:c>
      <x:c r="L225" s="24" t="n">
        <x:v>1</x:v>
      </x:c>
      <x:c r="M225" s="24" t="str">
        <x:v>VALID</x:v>
      </x:c>
      <x:c r="N225" s="24" t="str">
        <x:v>OBSERVED_OR_CALCULATED</x:v>
      </x:c>
      <x:c r="O225" s="24" t="str">
        <x:v>符合Stage 3计算门槛。</x:v>
      </x:c>
      <x:c r="P225" s="24" t="n">
        <x:v>0</x:v>
      </x:c>
      <x:c r="Q225" s="24"/>
      <x:c r="R225" s="24"/>
      <x:c r="S225" s="24" t="str">
        <x:v>DAY或MONTH精度融资轮数/融资轮总数。</x:v>
      </x:c>
      <x:c r="T225" s="24" t="str">
        <x:v>W7-OVR-920100-2022-DI; W7-OVR-920100-2023-DI</x:v>
      </x:c>
      <x:c r="U225" s="24"/>
      <x:c r="V225" s="24" t="str">
        <x:v>FROZEN_UNCHANGED</x:v>
      </x:c>
      <x:c r="W225" s="24" t="n">
        <x:v>0</x:v>
      </x:c>
    </x:row>
    <x:row r="226" ht="52" customHeight="1">
      <x:c r="A226" s="24" t="str">
        <x:v>920100|CV030</x:v>
      </x:c>
      <x:c r="B226" s="24" t="str">
        <x:v>920100</x:v>
      </x:c>
      <x:c r="C226" s="24" t="str">
        <x:v>三协电机</x:v>
      </x:c>
      <x:c r="D226" s="24" t="str">
        <x:v>CV030</x:v>
      </x:c>
      <x:c r="E226" s="24" t="str">
        <x:v>计算型轮次金额占比</x:v>
      </x:c>
      <x:c r="F226" s="24" t="str">
        <x:v>数值来源结构</x:v>
      </x:c>
      <x:c r="G226" s="24" t="str">
        <x:v>Q质量</x:v>
      </x:c>
      <x:c r="H226" s="24" t="str">
        <x:v>RATIO</x:v>
      </x:c>
      <x:c r="I226" s="24" t="str">
        <x:v>0–1</x:v>
      </x:c>
      <x:c r="J226" s="24" t="str">
        <x:v>计算值</x:v>
      </x:c>
      <x:c r="K226" s="24" t="str">
        <x:v>VALID</x:v>
      </x:c>
      <x:c r="L226" s="24" t="n">
        <x:v>0</x:v>
      </x:c>
      <x:c r="M226" s="24" t="str">
        <x:v>VALID</x:v>
      </x:c>
      <x:c r="N226" s="24" t="str">
        <x:v>OBSERVED_OR_CALCULATED</x:v>
      </x:c>
      <x:c r="O226" s="24" t="str">
        <x:v>符合Stage 3计算门槛。</x:v>
      </x:c>
      <x:c r="P226" s="24" t="n">
        <x:v>1</x:v>
      </x:c>
      <x:c r="Q226" s="24"/>
      <x:c r="R226" s="24"/>
      <x:c r="S226" s="24" t="str">
        <x:v>CALCULATED已知金额轮数/已知金额轮数。</x:v>
      </x:c>
      <x:c r="T226" s="24" t="str">
        <x:v>W7-OVR-920100-2022-DI; W7-OVR-920100-2023-DI</x:v>
      </x:c>
      <x:c r="U226" s="24"/>
      <x:c r="V226" s="24" t="str">
        <x:v>FROZEN_UNCHANGED</x:v>
      </x:c>
      <x:c r="W226" s="24" t="n">
        <x:v>0</x:v>
      </x:c>
    </x:row>
    <x:row r="227" ht="52" customHeight="1">
      <x:c r="A227" s="24" t="str">
        <x:v>920100|CV031</x:v>
      </x:c>
      <x:c r="B227" s="24" t="str">
        <x:v>920100</x:v>
      </x:c>
      <x:c r="C227" s="24" t="str">
        <x:v>三协电机</x:v>
      </x:c>
      <x:c r="D227" s="24" t="str">
        <x:v>CV031</x:v>
      </x:c>
      <x:c r="E227" s="24" t="str">
        <x:v>每轮融资证据记录数</x:v>
      </x:c>
      <x:c r="F227" s="24" t="str">
        <x:v>证据密度</x:v>
      </x:c>
      <x:c r="G227" s="24" t="str">
        <x:v>Q质量</x:v>
      </x:c>
      <x:c r="H227" s="24" t="str">
        <x:v>RATIO</x:v>
      </x:c>
      <x:c r="I227" s="24" t="str">
        <x:v>条/轮</x:v>
      </x:c>
      <x:c r="J227" s="24" t="str">
        <x:v>计算值</x:v>
      </x:c>
      <x:c r="K227" s="24" t="str">
        <x:v>VALID</x:v>
      </x:c>
      <x:c r="L227" s="24" t="n">
        <x:v>0</x:v>
      </x:c>
      <x:c r="M227" s="24" t="str">
        <x:v>VALID</x:v>
      </x:c>
      <x:c r="N227" s="24" t="str">
        <x:v>OBSERVED_OR_CALCULATED</x:v>
      </x:c>
      <x:c r="O227" s="24" t="str">
        <x:v>符合Stage 3计算门槛。</x:v>
      </x:c>
      <x:c r="P227" s="24" t="n">
        <x:v>1</x:v>
      </x:c>
      <x:c r="Q227" s="24" t="str">
        <x:v>SUMMARY_ONLY_EVIDENCE_BRIDGE</x:v>
      </x:c>
      <x:c r="R227" s="24" t="str">
        <x:v>三协电机override原文quote未在恢复包物化；0表示事件级evidence表链接数，不表示没有披露依据。</x:v>
      </x:c>
      <x:c r="S227" s="24" t="str">
        <x:v>关联融资轮的去重evidence_id数/融资轮数。</x:v>
      </x:c>
      <x:c r="T227" s="24" t="str">
        <x:v>W7-OVR-920100-2022-DI; W7-OVR-920100-2023-DI</x:v>
      </x:c>
      <x:c r="U227" s="24"/>
      <x:c r="V227" s="24" t="str">
        <x:v>FROZEN_UNCHANGED</x:v>
      </x:c>
      <x:c r="W227" s="24" t="n">
        <x:v>1</x:v>
      </x:c>
    </x:row>
    <x:row r="228" ht="52" customHeight="1">
      <x:c r="A228" s="24" t="str">
        <x:v>920100|CV032</x:v>
      </x:c>
      <x:c r="B228" s="24" t="str">
        <x:v>920100</x:v>
      </x:c>
      <x:c r="C228" s="24" t="str">
        <x:v>三协电机</x:v>
      </x:c>
      <x:c r="D228" s="24" t="str">
        <x:v>CV032</x:v>
      </x:c>
      <x:c r="E228" s="24" t="str">
        <x:v>公司级披露限制标记</x:v>
      </x:c>
      <x:c r="F228" s="24" t="str">
        <x:v>披露边界</x:v>
      </x:c>
      <x:c r="G228" s="24" t="str">
        <x:v>Q质量</x:v>
      </x:c>
      <x:c r="H228" s="24" t="str">
        <x:v>BINARY</x:v>
      </x:c>
      <x:c r="I228" s="24" t="str">
        <x:v>0/1</x:v>
      </x:c>
      <x:c r="J228" s="24" t="str">
        <x:v>研究判断派生</x:v>
      </x:c>
      <x:c r="K228" s="24" t="str">
        <x:v>VALID</x:v>
      </x:c>
      <x:c r="L228" s="24" t="n">
        <x:v>0</x:v>
      </x:c>
      <x:c r="M228" s="24" t="str">
        <x:v>VALID</x:v>
      </x:c>
      <x:c r="N228" s="24" t="str">
        <x:v>OBSERVED_OR_CALCULATED</x:v>
      </x:c>
      <x:c r="O228" s="24" t="str">
        <x:v>符合Stage 3计算门槛。</x:v>
      </x:c>
      <x:c r="P228" s="24" t="n">
        <x:v>1</x:v>
      </x:c>
      <x:c r="Q228" s="24"/>
      <x:c r="R228" s="24"/>
      <x:c r="S228" s="24" t="str">
        <x:v>FINAL_APPROVED公司记录中检查disclosure_limitation是否非空。</x:v>
      </x:c>
      <x:c r="T228" s="24" t="str">
        <x:v>companies:920100</x:v>
      </x:c>
      <x:c r="U228" s="24"/>
      <x:c r="V228" s="24" t="str">
        <x:v>FROZEN_UNCHANGED</x:v>
      </x:c>
      <x:c r="W228" s="24" t="n">
        <x:v>0</x:v>
      </x:c>
    </x:row>
    <x:row r="229" ht="52" customHeight="1">
      <x:c r="A229" s="24" t="str">
        <x:v>920116|CV001</x:v>
      </x:c>
      <x:c r="B229" s="24" t="str">
        <x:v>920116</x:v>
      </x:c>
      <x:c r="C229" s="24" t="str">
        <x:v>星图测控</x:v>
      </x:c>
      <x:c r="D229" s="24" t="str">
        <x:v>CV001</x:v>
      </x:c>
      <x:c r="E229" s="24" t="str">
        <x:v>上市前直接股权融资发生标记</x:v>
      </x:c>
      <x:c r="F229" s="24" t="str">
        <x:v>融资经历</x:v>
      </x:c>
      <x:c r="G229" s="24" t="str">
        <x:v>A核心</x:v>
      </x:c>
      <x:c r="H229" s="24" t="str">
        <x:v>BINARY</x:v>
      </x:c>
      <x:c r="I229" s="24" t="str">
        <x:v>0/1</x:v>
      </x:c>
      <x:c r="J229" s="24" t="str">
        <x:v>研究判断派生</x:v>
      </x:c>
      <x:c r="K229" s="24" t="str">
        <x:v>VALID</x:v>
      </x:c>
      <x:c r="L229" s="24" t="n">
        <x:v>1</x:v>
      </x:c>
      <x:c r="M229" s="24" t="str">
        <x:v>VALID</x:v>
      </x:c>
      <x:c r="N229" s="24" t="str">
        <x:v>OBSERVED_OR_CALCULATED</x:v>
      </x:c>
      <x:c r="O229" s="24" t="str">
        <x:v>符合Stage 3计算门槛。</x:v>
      </x:c>
      <x:c r="P229" s="24" t="n">
        <x:v>0</x:v>
      </x:c>
      <x:c r="Q229" s="24"/>
      <x:c r="R229" s="24"/>
      <x:c r="S229" s="24" t="str">
        <x:v>financing_round_count=1，据此生成二元标记。</x:v>
      </x:c>
      <x:c r="T229" s="24" t="str">
        <x:v>companies:920116</x:v>
      </x:c>
      <x:c r="U229" s="24"/>
      <x:c r="V229" s="24" t="str">
        <x:v>FROZEN_UNCHANGED</x:v>
      </x:c>
      <x:c r="W229" s="24" t="n">
        <x:v>0</x:v>
      </x:c>
    </x:row>
    <x:row r="230" ht="52" customHeight="1">
      <x:c r="A230" s="24" t="str">
        <x:v>920116|CV002</x:v>
      </x:c>
      <x:c r="B230" s="24" t="str">
        <x:v>920116</x:v>
      </x:c>
      <x:c r="C230" s="24" t="str">
        <x:v>星图测控</x:v>
      </x:c>
      <x:c r="D230" s="24" t="str">
        <x:v>CV002</x:v>
      </x:c>
      <x:c r="E230" s="24" t="str">
        <x:v>上市前直接股权融资轮数</x:v>
      </x:c>
      <x:c r="F230" s="24" t="str">
        <x:v>融资频度</x:v>
      </x:c>
      <x:c r="G230" s="24" t="str">
        <x:v>A核心</x:v>
      </x:c>
      <x:c r="H230" s="24" t="str">
        <x:v>INTEGER</x:v>
      </x:c>
      <x:c r="I230" s="24" t="str">
        <x:v>轮</x:v>
      </x:c>
      <x:c r="J230" s="24" t="str">
        <x:v>研究判断</x:v>
      </x:c>
      <x:c r="K230" s="24" t="str">
        <x:v>VALID</x:v>
      </x:c>
      <x:c r="L230" s="24" t="n">
        <x:v>1</x:v>
      </x:c>
      <x:c r="M230" s="24" t="str">
        <x:v>VALID</x:v>
      </x:c>
      <x:c r="N230" s="24" t="str">
        <x:v>OBSERVED_OR_CALCULATED</x:v>
      </x:c>
      <x:c r="O230" s="24" t="str">
        <x:v>符合Stage 3计算门槛。</x:v>
      </x:c>
      <x:c r="P230" s="24" t="n">
        <x:v>0</x:v>
      </x:c>
      <x:c r="Q230" s="24"/>
      <x:c r="R230" s="24"/>
      <x:c r="S230" s="24" t="str">
        <x:v>公司冻结轮次=1；事件层TRUE计数=1。</x:v>
      </x:c>
      <x:c r="T230" s="24" t="str">
        <x:v>companies:920116; EVT-920116-0001</x:v>
      </x:c>
      <x:c r="U230" s="24"/>
      <x:c r="V230" s="24" t="str">
        <x:v>FROZEN_UNCHANGED</x:v>
      </x:c>
      <x:c r="W230" s="24" t="n">
        <x:v>0</x:v>
      </x:c>
    </x:row>
    <x:row r="231" ht="52" customHeight="1">
      <x:c r="A231" s="24" t="str">
        <x:v>920116|CV003</x:v>
      </x:c>
      <x:c r="B231" s="24" t="str">
        <x:v>920116</x:v>
      </x:c>
      <x:c r="C231" s="24" t="str">
        <x:v>星图测控</x:v>
      </x:c>
      <x:c r="D231" s="24" t="str">
        <x:v>CV003</x:v>
      </x:c>
      <x:c r="E231" s="24" t="str">
        <x:v>可核验融资金额下限</x:v>
      </x:c>
      <x:c r="F231" s="24" t="str">
        <x:v>融资规模</x:v>
      </x:c>
      <x:c r="G231" s="24" t="str">
        <x:v>A核心</x:v>
      </x:c>
      <x:c r="H231" s="24" t="str">
        <x:v>CONTINUOUS</x:v>
      </x:c>
      <x:c r="I231" s="24" t="str">
        <x:v>万元人民币</x:v>
      </x:c>
      <x:c r="J231" s="24" t="str">
        <x:v>标准化值+计算值</x:v>
      </x:c>
      <x:c r="K231" s="24" t="str">
        <x:v>VALID</x:v>
      </x:c>
      <x:c r="L231" s="24" t="n">
        <x:v>4725</x:v>
      </x:c>
      <x:c r="M231" s="24" t="str">
        <x:v>VALID</x:v>
      </x:c>
      <x:c r="N231" s="24" t="str">
        <x:v>OBSERVED_OR_CALCULATED</x:v>
      </x:c>
      <x:c r="O231" s="24" t="str">
        <x:v>符合Stage 3计算门槛。</x:v>
      </x:c>
      <x:c r="P231" s="24" t="n">
        <x:v>0</x:v>
      </x:c>
      <x:c r="Q231" s="24"/>
      <x:c r="R231" s="24"/>
      <x:c r="S231" s="24" t="str">
        <x:v>读取公司层冻结金额；状态=DISCLOSED_COMPLETE。</x:v>
      </x:c>
      <x:c r="T231" s="24" t="str">
        <x:v>companies:920116</x:v>
      </x:c>
      <x:c r="U231" s="24"/>
      <x:c r="V231" s="24" t="str">
        <x:v>FROZEN_UNCHANGED</x:v>
      </x:c>
      <x:c r="W231" s="24" t="n">
        <x:v>0</x:v>
      </x:c>
    </x:row>
    <x:row r="232" ht="52" customHeight="1">
      <x:c r="A232" s="24" t="str">
        <x:v>920116|CV004</x:v>
      </x:c>
      <x:c r="B232" s="24" t="str">
        <x:v>920116</x:v>
      </x:c>
      <x:c r="C232" s="24" t="str">
        <x:v>星图测控</x:v>
      </x:c>
      <x:c r="D232" s="24" t="str">
        <x:v>CV004</x:v>
      </x:c>
      <x:c r="E232" s="24" t="str">
        <x:v>融资金额下限对数</x:v>
      </x:c>
      <x:c r="F232" s="24" t="str">
        <x:v>融资规模</x:v>
      </x:c>
      <x:c r="G232" s="24" t="str">
        <x:v>B扩展</x:v>
      </x:c>
      <x:c r="H232" s="24" t="str">
        <x:v>CONTINUOUS</x:v>
      </x:c>
      <x:c r="I232" s="24" t="str">
        <x:v>ln(1+万元)</x:v>
      </x:c>
      <x:c r="J232" s="24" t="str">
        <x:v>计算值</x:v>
      </x:c>
      <x:c r="K232" s="24" t="str">
        <x:v>VALID</x:v>
      </x:c>
      <x:c r="L232" s="24" t="n">
        <x:v>8.460834457746854</x:v>
      </x:c>
      <x:c r="M232" s="24" t="str">
        <x:v>VALID</x:v>
      </x:c>
      <x:c r="N232" s="24" t="str">
        <x:v>OBSERVED_OR_CALCULATED</x:v>
      </x:c>
      <x:c r="O232" s="24" t="str">
        <x:v>符合Stage 3计算门槛。</x:v>
      </x:c>
      <x:c r="P232" s="24" t="n">
        <x:v>0</x:v>
      </x:c>
      <x:c r="Q232" s="24"/>
      <x:c r="R232" s="24"/>
      <x:c r="S232" s="24" t="str">
        <x:v>LN(1+公司层融资金额下限)。</x:v>
      </x:c>
      <x:c r="T232" s="24" t="str">
        <x:v>companies:920116</x:v>
      </x:c>
      <x:c r="U232" s="24"/>
      <x:c r="V232" s="24" t="str">
        <x:v>FROZEN_UNCHANGED</x:v>
      </x:c>
      <x:c r="W232" s="24" t="n">
        <x:v>0</x:v>
      </x:c>
    </x:row>
    <x:row r="233" ht="52" customHeight="1">
      <x:c r="A233" s="24" t="str">
        <x:v>920116|CV005</x:v>
      </x:c>
      <x:c r="B233" s="24" t="str">
        <x:v>920116</x:v>
      </x:c>
      <x:c r="C233" s="24" t="str">
        <x:v>星图测控</x:v>
      </x:c>
      <x:c r="D233" s="24" t="str">
        <x:v>CV005</x:v>
      </x:c>
      <x:c r="E233" s="24" t="str">
        <x:v>已知金额轮次均值</x:v>
      </x:c>
      <x:c r="F233" s="24" t="str">
        <x:v>单轮融资规模</x:v>
      </x:c>
      <x:c r="G233" s="24" t="str">
        <x:v>A核心</x:v>
      </x:c>
      <x:c r="H233" s="24" t="str">
        <x:v>CONTINUOUS</x:v>
      </x:c>
      <x:c r="I233" s="24" t="str">
        <x:v>万元人民币/已知轮</x:v>
      </x:c>
      <x:c r="J233" s="24" t="str">
        <x:v>计算值</x:v>
      </x:c>
      <x:c r="K233" s="24" t="str">
        <x:v>VALID</x:v>
      </x:c>
      <x:c r="L233" s="24" t="n">
        <x:v>4725</x:v>
      </x:c>
      <x:c r="M233" s="24" t="str">
        <x:v>VALID</x:v>
      </x:c>
      <x:c r="N233" s="24" t="str">
        <x:v>OBSERVED_OR_CALCULATED</x:v>
      </x:c>
      <x:c r="O233" s="24" t="str">
        <x:v>符合Stage 3计算门槛。</x:v>
      </x:c>
      <x:c r="P233" s="24" t="n">
        <x:v>0</x:v>
      </x:c>
      <x:c r="Q233" s="24"/>
      <x:c r="R233" s="24"/>
      <x:c r="S233" s="24" t="str">
        <x:v>基于1个非null融资轮金额计算已知轮次金额均值。</x:v>
      </x:c>
      <x:c r="T233" s="24" t="str">
        <x:v>EVT-920116-0001</x:v>
      </x:c>
      <x:c r="U233" s="24"/>
      <x:c r="V233" s="24" t="str">
        <x:v>FROZEN_UNCHANGED</x:v>
      </x:c>
      <x:c r="W233" s="24" t="n">
        <x:v>0</x:v>
      </x:c>
    </x:row>
    <x:row r="234" ht="52" customHeight="1">
      <x:c r="A234" s="24" t="str">
        <x:v>920116|CV006</x:v>
      </x:c>
      <x:c r="B234" s="24" t="str">
        <x:v>920116</x:v>
      </x:c>
      <x:c r="C234" s="24" t="str">
        <x:v>星图测控</x:v>
      </x:c>
      <x:c r="D234" s="24" t="str">
        <x:v>CV006</x:v>
      </x:c>
      <x:c r="E234" s="24" t="str">
        <x:v>已知金额轮次中位数</x:v>
      </x:c>
      <x:c r="F234" s="24" t="str">
        <x:v>单轮融资规模</x:v>
      </x:c>
      <x:c r="G234" s="24" t="str">
        <x:v>B扩展</x:v>
      </x:c>
      <x:c r="H234" s="24" t="str">
        <x:v>CONTINUOUS</x:v>
      </x:c>
      <x:c r="I234" s="24" t="str">
        <x:v>万元人民币/已知轮</x:v>
      </x:c>
      <x:c r="J234" s="24" t="str">
        <x:v>计算值</x:v>
      </x:c>
      <x:c r="K234" s="24" t="str">
        <x:v>VALID</x:v>
      </x:c>
      <x:c r="L234" s="24" t="n">
        <x:v>4725</x:v>
      </x:c>
      <x:c r="M234" s="24" t="str">
        <x:v>VALID</x:v>
      </x:c>
      <x:c r="N234" s="24" t="str">
        <x:v>OBSERVED_OR_CALCULATED</x:v>
      </x:c>
      <x:c r="O234" s="24" t="str">
        <x:v>符合Stage 3计算门槛。</x:v>
      </x:c>
      <x:c r="P234" s="24" t="n">
        <x:v>0</x:v>
      </x:c>
      <x:c r="Q234" s="24"/>
      <x:c r="R234" s="24"/>
      <x:c r="S234" s="24" t="str">
        <x:v>基于1个非null融资轮金额计算已知轮次金额中位数。</x:v>
      </x:c>
      <x:c r="T234" s="24" t="str">
        <x:v>EVT-920116-0001</x:v>
      </x:c>
      <x:c r="U234" s="24"/>
      <x:c r="V234" s="24" t="str">
        <x:v>FROZEN_UNCHANGED</x:v>
      </x:c>
      <x:c r="W234" s="24" t="n">
        <x:v>0</x:v>
      </x:c>
    </x:row>
    <x:row r="235" ht="52" customHeight="1">
      <x:c r="A235" s="24" t="str">
        <x:v>920116|CV007</x:v>
      </x:c>
      <x:c r="B235" s="24" t="str">
        <x:v>920116</x:v>
      </x:c>
      <x:c r="C235" s="24" t="str">
        <x:v>星图测控</x:v>
      </x:c>
      <x:c r="D235" s="24" t="str">
        <x:v>CV007</x:v>
      </x:c>
      <x:c r="E235" s="24" t="str">
        <x:v>最大已知单轮融资金额</x:v>
      </x:c>
      <x:c r="F235" s="24" t="str">
        <x:v>融资峰值</x:v>
      </x:c>
      <x:c r="G235" s="24" t="str">
        <x:v>B扩展</x:v>
      </x:c>
      <x:c r="H235" s="24" t="str">
        <x:v>CONTINUOUS</x:v>
      </x:c>
      <x:c r="I235" s="24" t="str">
        <x:v>万元人民币</x:v>
      </x:c>
      <x:c r="J235" s="24" t="str">
        <x:v>计算值</x:v>
      </x:c>
      <x:c r="K235" s="24" t="str">
        <x:v>VALID</x:v>
      </x:c>
      <x:c r="L235" s="24" t="n">
        <x:v>4725</x:v>
      </x:c>
      <x:c r="M235" s="24" t="str">
        <x:v>VALID</x:v>
      </x:c>
      <x:c r="N235" s="24" t="str">
        <x:v>OBSERVED_OR_CALCULATED</x:v>
      </x:c>
      <x:c r="O235" s="24" t="str">
        <x:v>符合Stage 3计算门槛。</x:v>
      </x:c>
      <x:c r="P235" s="24" t="n">
        <x:v>0</x:v>
      </x:c>
      <x:c r="Q235" s="24"/>
      <x:c r="R235" s="24"/>
      <x:c r="S235" s="24" t="str">
        <x:v>基于1个非null融资轮金额计算最大已知轮次金额。</x:v>
      </x:c>
      <x:c r="T235" s="24" t="str">
        <x:v>EVT-920116-0001</x:v>
      </x:c>
      <x:c r="U235" s="24"/>
      <x:c r="V235" s="24" t="str">
        <x:v>FROZEN_UNCHANGED</x:v>
      </x:c>
      <x:c r="W235" s="24" t="n">
        <x:v>0</x:v>
      </x:c>
    </x:row>
    <x:row r="236" ht="52" customHeight="1">
      <x:c r="A236" s="24" t="str">
        <x:v>920116|CV008</x:v>
      </x:c>
      <x:c r="B236" s="24" t="str">
        <x:v>920116</x:v>
      </x:c>
      <x:c r="C236" s="24" t="str">
        <x:v>星图测控</x:v>
      </x:c>
      <x:c r="D236" s="24" t="str">
        <x:v>CV008</x:v>
      </x:c>
      <x:c r="E236" s="24" t="str">
        <x:v>最大已知轮金额占比</x:v>
      </x:c>
      <x:c r="F236" s="24" t="str">
        <x:v>融资集中度</x:v>
      </x:c>
      <x:c r="G236" s="24" t="str">
        <x:v>B扩展</x:v>
      </x:c>
      <x:c r="H236" s="24" t="str">
        <x:v>RATIO</x:v>
      </x:c>
      <x:c r="I236" s="24" t="str">
        <x:v>0–1</x:v>
      </x:c>
      <x:c r="J236" s="24" t="str">
        <x:v>计算值</x:v>
      </x:c>
      <x:c r="K236" s="24" t="str">
        <x:v>VALID</x:v>
      </x:c>
      <x:c r="L236" s="24" t="n">
        <x:v>1</x:v>
      </x:c>
      <x:c r="M236" s="24" t="str">
        <x:v>VALID</x:v>
      </x:c>
      <x:c r="N236" s="24" t="str">
        <x:v>OBSERVED_OR_CALCULATED</x:v>
      </x:c>
      <x:c r="O236" s="24" t="str">
        <x:v>符合Stage 3计算门槛。</x:v>
      </x:c>
      <x:c r="P236" s="24" t="n">
        <x:v>0</x:v>
      </x:c>
      <x:c r="Q236" s="24"/>
      <x:c r="R236" s="24"/>
      <x:c r="S236" s="24" t="str">
        <x:v>最大已知轮金额/已知事件锚点金额合计。</x:v>
      </x:c>
      <x:c r="T236" s="24" t="str">
        <x:v>EVT-920116-0001</x:v>
      </x:c>
      <x:c r="U236" s="24"/>
      <x:c r="V236" s="24" t="str">
        <x:v>FROZEN_UNCHANGED</x:v>
      </x:c>
      <x:c r="W236" s="24" t="n">
        <x:v>0</x:v>
      </x:c>
    </x:row>
    <x:row r="237" ht="52" customHeight="1">
      <x:c r="A237" s="24" t="str">
        <x:v>920116|CV009</x:v>
      </x:c>
      <x:c r="B237" s="24" t="str">
        <x:v>920116</x:v>
      </x:c>
      <x:c r="C237" s="24" t="str">
        <x:v>星图测控</x:v>
      </x:c>
      <x:c r="D237" s="24" t="str">
        <x:v>CV009</x:v>
      </x:c>
      <x:c r="E237" s="24" t="str">
        <x:v>融资时间跨度</x:v>
      </x:c>
      <x:c r="F237" s="24" t="str">
        <x:v>融资节奏</x:v>
      </x:c>
      <x:c r="G237" s="24" t="str">
        <x:v>A核心</x:v>
      </x:c>
      <x:c r="H237" s="24" t="str">
        <x:v>CONTINUOUS</x:v>
      </x:c>
      <x:c r="I237" s="24" t="str">
        <x:v>月</x:v>
      </x:c>
      <x:c r="J237" s="24" t="str">
        <x:v>计算值</x:v>
      </x:c>
      <x:c r="K237" s="24" t="str">
        <x:v>STRUCTURAL_NA</x:v>
      </x:c>
      <x:c r="L237" s="24"/>
      <x:c r="M237" s="24" t="str">
        <x:v>STRUCTURAL_NA</x:v>
      </x:c>
      <x:c r="N237" s="24" t="str">
        <x:v>STRUCTURAL_NA_FEWER_THAN_2_ROUNDS</x:v>
      </x:c>
      <x:c r="O237" s="24" t="str">
        <x:v>融资轮数=1，少于2轮。</x:v>
      </x:c>
      <x:c r="P237" s="24" t="n">
        <x:v>0</x:v>
      </x:c>
      <x:c r="Q237" s="24"/>
      <x:c r="R237" s="24"/>
      <x:c r="S237" s="24" t="str">
        <x:v>融资时间跨度不适用。</x:v>
      </x:c>
      <x:c r="T237" s="24" t="str">
        <x:v>EVT-920116-0001</x:v>
      </x:c>
      <x:c r="U237" s="24"/>
      <x:c r="V237" s="24" t="str">
        <x:v>FROZEN_UNCHANGED</x:v>
      </x:c>
      <x:c r="W237" s="24" t="n">
        <x:v>0</x:v>
      </x:c>
    </x:row>
    <x:row r="238" ht="52" customHeight="1">
      <x:c r="A238" s="24" t="str">
        <x:v>920116|CV010</x:v>
      </x:c>
      <x:c r="B238" s="24" t="str">
        <x:v>920116</x:v>
      </x:c>
      <x:c r="C238" s="24" t="str">
        <x:v>星图测控</x:v>
      </x:c>
      <x:c r="D238" s="24" t="str">
        <x:v>CV010</x:v>
      </x:c>
      <x:c r="E238" s="24" t="str">
        <x:v>融资轮次间隔中位数</x:v>
      </x:c>
      <x:c r="F238" s="24" t="str">
        <x:v>融资节奏</x:v>
      </x:c>
      <x:c r="G238" s="24" t="str">
        <x:v>B扩展</x:v>
      </x:c>
      <x:c r="H238" s="24" t="str">
        <x:v>CONTINUOUS</x:v>
      </x:c>
      <x:c r="I238" s="24" t="str">
        <x:v>月</x:v>
      </x:c>
      <x:c r="J238" s="24" t="str">
        <x:v>计算值</x:v>
      </x:c>
      <x:c r="K238" s="24" t="str">
        <x:v>STRUCTURAL_NA</x:v>
      </x:c>
      <x:c r="L238" s="24"/>
      <x:c r="M238" s="24" t="str">
        <x:v>STRUCTURAL_NA</x:v>
      </x:c>
      <x:c r="N238" s="24" t="str">
        <x:v>STRUCTURAL_NA_FEWER_THAN_2_ROUNDS</x:v>
      </x:c>
      <x:c r="O238" s="24" t="str">
        <x:v>融资轮数=1，少于2轮。</x:v>
      </x:c>
      <x:c r="P238" s="24" t="n">
        <x:v>0</x:v>
      </x:c>
      <x:c r="Q238" s="24"/>
      <x:c r="R238" s="24"/>
      <x:c r="S238" s="24" t="str">
        <x:v>融资间隔中位数不适用。</x:v>
      </x:c>
      <x:c r="T238" s="24" t="str">
        <x:v>EVT-920116-0001</x:v>
      </x:c>
      <x:c r="U238" s="24"/>
      <x:c r="V238" s="24" t="str">
        <x:v>FROZEN_UNCHANGED</x:v>
      </x:c>
      <x:c r="W238" s="24" t="n">
        <x:v>0</x:v>
      </x:c>
    </x:row>
    <x:row r="239" ht="52" customHeight="1">
      <x:c r="A239" s="24" t="str">
        <x:v>920116|CV011</x:v>
      </x:c>
      <x:c r="B239" s="24" t="str">
        <x:v>920116</x:v>
      </x:c>
      <x:c r="C239" s="24" t="str">
        <x:v>星图测控</x:v>
      </x:c>
      <x:c r="D239" s="24" t="str">
        <x:v>CV011</x:v>
      </x:c>
      <x:c r="E239" s="24" t="str">
        <x:v>确认PE/VC参与标记</x:v>
      </x:c>
      <x:c r="F239" s="24" t="str">
        <x:v>PEVC参与</x:v>
      </x:c>
      <x:c r="G239" s="24" t="str">
        <x:v>A核心</x:v>
      </x:c>
      <x:c r="H239" s="24" t="str">
        <x:v>BINARY</x:v>
      </x:c>
      <x:c r="I239" s="24" t="str">
        <x:v>0/1</x:v>
      </x:c>
      <x:c r="J239" s="24" t="str">
        <x:v>研究判断派生</x:v>
      </x:c>
      <x:c r="K239" s="24" t="str">
        <x:v>VALID</x:v>
      </x:c>
      <x:c r="L239" s="24" t="n">
        <x:v>0</x:v>
      </x:c>
      <x:c r="M239" s="24" t="str">
        <x:v>VALID</x:v>
      </x:c>
      <x:c r="N239" s="24" t="str">
        <x:v>OBSERVED_OR_CALCULATED</x:v>
      </x:c>
      <x:c r="O239" s="24" t="str">
        <x:v>符合Stage 3计算门槛。</x:v>
      </x:c>
      <x:c r="P239" s="24" t="n">
        <x:v>1</x:v>
      </x:c>
      <x:c r="Q239" s="24"/>
      <x:c r="R239" s="24"/>
      <x:c r="S239" s="24" t="str">
        <x:v>confirmed_pevc_legal_entity_count=0。</x:v>
      </x:c>
      <x:c r="T239" s="24" t="str">
        <x:v>companies:920116</x:v>
      </x:c>
      <x:c r="U239" s="24"/>
      <x:c r="V239" s="24" t="str">
        <x:v>FROZEN_UNCHANGED</x:v>
      </x:c>
      <x:c r="W239" s="24" t="n">
        <x:v>0</x:v>
      </x:c>
    </x:row>
    <x:row r="240" ht="52" customHeight="1">
      <x:c r="A240" s="24" t="str">
        <x:v>920116|CV012</x:v>
      </x:c>
      <x:c r="B240" s="24" t="str">
        <x:v>920116</x:v>
      </x:c>
      <x:c r="C240" s="24" t="str">
        <x:v>星图测控</x:v>
      </x:c>
      <x:c r="D240" s="24" t="str">
        <x:v>CV012</x:v>
      </x:c>
      <x:c r="E240" s="24" t="str">
        <x:v>确认PE/VC法律主体数</x:v>
      </x:c>
      <x:c r="F240" s="24" t="str">
        <x:v>PEVC参与</x:v>
      </x:c>
      <x:c r="G240" s="24" t="str">
        <x:v>A核心</x:v>
      </x:c>
      <x:c r="H240" s="24" t="str">
        <x:v>INTEGER</x:v>
      </x:c>
      <x:c r="I240" s="24" t="str">
        <x:v>个</x:v>
      </x:c>
      <x:c r="J240" s="24" t="str">
        <x:v>计算值+研究判断</x:v>
      </x:c>
      <x:c r="K240" s="24" t="str">
        <x:v>VALID</x:v>
      </x:c>
      <x:c r="L240" s="24" t="n">
        <x:v>0</x:v>
      </x:c>
      <x:c r="M240" s="24" t="str">
        <x:v>VALID</x:v>
      </x:c>
      <x:c r="N240" s="24" t="str">
        <x:v>OBSERVED_OR_CALCULATED</x:v>
      </x:c>
      <x:c r="O240" s="24" t="str">
        <x:v>符合Stage 3计算门槛。</x:v>
      </x:c>
      <x:c r="P240" s="24" t="n">
        <x:v>1</x:v>
      </x:c>
      <x:c r="Q240" s="24"/>
      <x:c r="R240" s="24"/>
      <x:c r="S240" s="24" t="str">
        <x:v>读取公司层冻结确认PE/VC法律主体数。</x:v>
      </x:c>
      <x:c r="T240" s="24" t="str">
        <x:v>companies:920116</x:v>
      </x:c>
      <x:c r="U240" s="24"/>
      <x:c r="V240" s="24" t="str">
        <x:v>FROZEN_UNCHANGED</x:v>
      </x:c>
      <x:c r="W240" s="24" t="n">
        <x:v>0</x:v>
      </x:c>
    </x:row>
    <x:row r="241" ht="52" customHeight="1">
      <x:c r="A241" s="24" t="str">
        <x:v>920116|CV013</x:v>
      </x:c>
      <x:c r="B241" s="24" t="str">
        <x:v>920116</x:v>
      </x:c>
      <x:c r="C241" s="24" t="str">
        <x:v>星图测控</x:v>
      </x:c>
      <x:c r="D241" s="24" t="str">
        <x:v>CV013</x:v>
      </x:c>
      <x:c r="E241" s="24" t="str">
        <x:v>确认PE/VC占直接主体比重</x:v>
      </x:c>
      <x:c r="F241" s="24" t="str">
        <x:v>PEVC参与</x:v>
      </x:c>
      <x:c r="G241" s="24" t="str">
        <x:v>B扩展</x:v>
      </x:c>
      <x:c r="H241" s="24" t="str">
        <x:v>RATIO</x:v>
      </x:c>
      <x:c r="I241" s="24" t="str">
        <x:v>0–1</x:v>
      </x:c>
      <x:c r="J241" s="24" t="str">
        <x:v>计算值+研究判断</x:v>
      </x:c>
      <x:c r="K241" s="24" t="str">
        <x:v>VALID</x:v>
      </x:c>
      <x:c r="L241" s="24" t="n">
        <x:v>0</x:v>
      </x:c>
      <x:c r="M241" s="24" t="str">
        <x:v>VALID</x:v>
      </x:c>
      <x:c r="N241" s="24" t="str">
        <x:v>OBSERVED_OR_CALCULATED</x:v>
      </x:c>
      <x:c r="O241" s="24" t="str">
        <x:v>符合Stage 3计算门槛。</x:v>
      </x:c>
      <x:c r="P241" s="24" t="n">
        <x:v>1</x:v>
      </x:c>
      <x:c r="Q241" s="24"/>
      <x:c r="R241" s="24"/>
      <x:c r="S241" s="24" t="str">
        <x:v>确认PE/VC法律主体数/直接参与法律主体数。</x:v>
      </x:c>
      <x:c r="T241" s="24" t="str">
        <x:v>companies:920116</x:v>
      </x:c>
      <x:c r="U241" s="24"/>
      <x:c r="V241" s="24" t="str">
        <x:v>FROZEN_UNCHANGED</x:v>
      </x:c>
      <x:c r="W241" s="24" t="n">
        <x:v>0</x:v>
      </x:c>
    </x:row>
    <x:row r="242" ht="52" customHeight="1">
      <x:c r="A242" s="24" t="str">
        <x:v>920116|CV014</x:v>
      </x:c>
      <x:c r="B242" s="24" t="str">
        <x:v>920116</x:v>
      </x:c>
      <x:c r="C242" s="24" t="str">
        <x:v>星图测控</x:v>
      </x:c>
      <x:c r="D242" s="24" t="str">
        <x:v>CV014</x:v>
      </x:c>
      <x:c r="E242" s="24" t="str">
        <x:v>确认PE/VC参与融资轮数</x:v>
      </x:c>
      <x:c r="F242" s="24" t="str">
        <x:v>PEVC参与深度</x:v>
      </x:c>
      <x:c r="G242" s="24" t="str">
        <x:v>B扩展</x:v>
      </x:c>
      <x:c r="H242" s="24" t="str">
        <x:v>INTEGER</x:v>
      </x:c>
      <x:c r="I242" s="24" t="str">
        <x:v>轮</x:v>
      </x:c>
      <x:c r="J242" s="24" t="str">
        <x:v>研究判断派生</x:v>
      </x:c>
      <x:c r="K242" s="24" t="str">
        <x:v>VALID</x:v>
      </x:c>
      <x:c r="L242" s="24" t="n">
        <x:v>0</x:v>
      </x:c>
      <x:c r="M242" s="24" t="str">
        <x:v>VALID</x:v>
      </x:c>
      <x:c r="N242" s="24" t="str">
        <x:v>OBSERVED_OR_CALCULATED</x:v>
      </x:c>
      <x:c r="O242" s="24" t="str">
        <x:v>符合Stage 3计算门槛。</x:v>
      </x:c>
      <x:c r="P242" s="24" t="n">
        <x:v>1</x:v>
      </x:c>
      <x:c r="Q242" s="24"/>
      <x:c r="R242" s="24"/>
      <x:c r="S242" s="24" t="str">
        <x:v>公司层确认PE/VC数为0，因此确认PE/VC参与融资轮数为0。</x:v>
      </x:c>
      <x:c r="T242" s="24" t="str">
        <x:v>companies:920116</x:v>
      </x:c>
      <x:c r="U242" s="24"/>
      <x:c r="V242" s="24" t="str">
        <x:v>FROZEN_UNCHANGED</x:v>
      </x:c>
      <x:c r="W242" s="24" t="n">
        <x:v>0</x:v>
      </x:c>
    </x:row>
    <x:row r="243" ht="52" customHeight="1">
      <x:c r="A243" s="24" t="str">
        <x:v>920116|CV015</x:v>
      </x:c>
      <x:c r="B243" s="24" t="str">
        <x:v>920116</x:v>
      </x:c>
      <x:c r="C243" s="24" t="str">
        <x:v>星图测控</x:v>
      </x:c>
      <x:c r="D243" s="24" t="str">
        <x:v>CV015</x:v>
      </x:c>
      <x:c r="E243" s="24" t="str">
        <x:v>首次确认PE/VC进入日期</x:v>
      </x:c>
      <x:c r="F243" s="24" t="str">
        <x:v>PEVC进入时点</x:v>
      </x:c>
      <x:c r="G243" s="24" t="str">
        <x:v>A核心</x:v>
      </x:c>
      <x:c r="H243" s="24" t="str">
        <x:v>DATE_OR_MONTH</x:v>
      </x:c>
      <x:c r="I243" s="24" t="str">
        <x:v>日期或年月</x:v>
      </x:c>
      <x:c r="J243" s="24" t="str">
        <x:v>研究判断派生</x:v>
      </x:c>
      <x:c r="K243" s="24" t="str">
        <x:v>STRUCTURAL_NA</x:v>
      </x:c>
      <x:c r="L243" s="24"/>
      <x:c r="M243" s="24" t="str">
        <x:v>STRUCTURAL_NA</x:v>
      </x:c>
      <x:c r="N243" s="24" t="str">
        <x:v>STRUCTURAL_NA_NO_CONFIRMED_PEVC</x:v>
      </x:c>
      <x:c r="O243" s="24" t="str">
        <x:v>公司没有确认PE/VC法律主体。</x:v>
      </x:c>
      <x:c r="P243" s="24" t="n">
        <x:v>0</x:v>
      </x:c>
      <x:c r="Q243" s="24"/>
      <x:c r="R243" s="24"/>
      <x:c r="S243" s="24" t="str">
        <x:v>首次确认PE/VC进入日期不适用。</x:v>
      </x:c>
      <x:c r="T243" s="24" t="str">
        <x:v>companies:920116</x:v>
      </x:c>
      <x:c r="U243" s="24"/>
      <x:c r="V243" s="24" t="str">
        <x:v>FROZEN_UNCHANGED</x:v>
      </x:c>
      <x:c r="W243" s="24" t="n">
        <x:v>0</x:v>
      </x:c>
    </x:row>
    <x:row r="244" ht="52" customHeight="1">
      <x:c r="A244" s="24" t="str">
        <x:v>920116|CV016</x:v>
      </x:c>
      <x:c r="B244" s="24" t="str">
        <x:v>920116</x:v>
      </x:c>
      <x:c r="C244" s="24" t="str">
        <x:v>星图测控</x:v>
      </x:c>
      <x:c r="D244" s="24" t="str">
        <x:v>CV016</x:v>
      </x:c>
      <x:c r="E244" s="24" t="str">
        <x:v>首次确认PE/VC进入年份</x:v>
      </x:c>
      <x:c r="F244" s="24" t="str">
        <x:v>PEVC进入时点</x:v>
      </x:c>
      <x:c r="G244" s="24" t="str">
        <x:v>B扩展</x:v>
      </x:c>
      <x:c r="H244" s="24" t="str">
        <x:v>INTEGER</x:v>
      </x:c>
      <x:c r="I244" s="24" t="str">
        <x:v>年</x:v>
      </x:c>
      <x:c r="J244" s="24" t="str">
        <x:v>计算值+研究判断</x:v>
      </x:c>
      <x:c r="K244" s="24" t="str">
        <x:v>STRUCTURAL_NA</x:v>
      </x:c>
      <x:c r="L244" s="24"/>
      <x:c r="M244" s="24" t="str">
        <x:v>STRUCTURAL_NA</x:v>
      </x:c>
      <x:c r="N244" s="24" t="str">
        <x:v>STRUCTURAL_NA_NO_CONFIRMED_PEVC</x:v>
      </x:c>
      <x:c r="O244" s="24" t="str">
        <x:v>公司没有确认PE/VC法律主体。</x:v>
      </x:c>
      <x:c r="P244" s="24" t="n">
        <x:v>0</x:v>
      </x:c>
      <x:c r="Q244" s="24"/>
      <x:c r="R244" s="24"/>
      <x:c r="S244" s="24" t="str">
        <x:v>首次确认PE/VC进入年份不适用。</x:v>
      </x:c>
      <x:c r="T244" s="24" t="str">
        <x:v>companies:920116</x:v>
      </x:c>
      <x:c r="U244" s="24"/>
      <x:c r="V244" s="24" t="str">
        <x:v>FROZEN_UNCHANGED</x:v>
      </x:c>
      <x:c r="W244" s="24" t="n">
        <x:v>0</x:v>
      </x:c>
    </x:row>
    <x:row r="245" ht="52" customHeight="1">
      <x:c r="A245" s="24" t="str">
        <x:v>920116|CV017</x:v>
      </x:c>
      <x:c r="B245" s="24" t="str">
        <x:v>920116</x:v>
      </x:c>
      <x:c r="C245" s="24" t="str">
        <x:v>星图测控</x:v>
      </x:c>
      <x:c r="D245" s="24" t="str">
        <x:v>CV017</x:v>
      </x:c>
      <x:c r="E245" s="24" t="str">
        <x:v>首次确认PE/VC融资轮位置</x:v>
      </x:c>
      <x:c r="F245" s="24" t="str">
        <x:v>PEVC进入时点</x:v>
      </x:c>
      <x:c r="G245" s="24" t="str">
        <x:v>B扩展</x:v>
      </x:c>
      <x:c r="H245" s="24" t="str">
        <x:v>RATIO</x:v>
      </x:c>
      <x:c r="I245" s="24" t="str">
        <x:v>0–1</x:v>
      </x:c>
      <x:c r="J245" s="24" t="str">
        <x:v>研究判断派生</x:v>
      </x:c>
      <x:c r="K245" s="24" t="str">
        <x:v>STRUCTURAL_NA</x:v>
      </x:c>
      <x:c r="L245" s="24"/>
      <x:c r="M245" s="24" t="str">
        <x:v>STRUCTURAL_NA</x:v>
      </x:c>
      <x:c r="N245" s="24" t="str">
        <x:v>STRUCTURAL_NA_NO_CONFIRMED_PEVC</x:v>
      </x:c>
      <x:c r="O245" s="24" t="str">
        <x:v>公司没有确认PE/VC法律主体。</x:v>
      </x:c>
      <x:c r="P245" s="24" t="n">
        <x:v>0</x:v>
      </x:c>
      <x:c r="Q245" s="24"/>
      <x:c r="R245" s="24"/>
      <x:c r="S245" s="24" t="str">
        <x:v>首次确认PE/VC融资轮位置不适用。</x:v>
      </x:c>
      <x:c r="T245" s="24" t="str">
        <x:v>companies:920116</x:v>
      </x:c>
      <x:c r="U245" s="24"/>
      <x:c r="V245" s="24" t="str">
        <x:v>FROZEN_UNCHANGED</x:v>
      </x:c>
      <x:c r="W245" s="24" t="n">
        <x:v>0</x:v>
      </x:c>
    </x:row>
    <x:row r="246" ht="52" customHeight="1">
      <x:c r="A246" s="24" t="str">
        <x:v>920116|CV018</x:v>
      </x:c>
      <x:c r="B246" s="24" t="str">
        <x:v>920116</x:v>
      </x:c>
      <x:c r="C246" s="24" t="str">
        <x:v>星图测控</x:v>
      </x:c>
      <x:c r="D246" s="24" t="str">
        <x:v>CV018</x:v>
      </x:c>
      <x:c r="E246" s="24" t="str">
        <x:v>确认PE/VC间接路径标记</x:v>
      </x:c>
      <x:c r="F246" s="24" t="str">
        <x:v>投资路径复杂度</x:v>
      </x:c>
      <x:c r="G246" s="24" t="str">
        <x:v>B扩展</x:v>
      </x:c>
      <x:c r="H246" s="24" t="str">
        <x:v>BINARY</x:v>
      </x:c>
      <x:c r="I246" s="24" t="str">
        <x:v>0/1</x:v>
      </x:c>
      <x:c r="J246" s="24" t="str">
        <x:v>研究判断派生</x:v>
      </x:c>
      <x:c r="K246" s="24" t="str">
        <x:v>VALID</x:v>
      </x:c>
      <x:c r="L246" s="24" t="n">
        <x:v>0</x:v>
      </x:c>
      <x:c r="M246" s="24" t="str">
        <x:v>VALID</x:v>
      </x:c>
      <x:c r="N246" s="24" t="str">
        <x:v>OBSERVED_OR_CALCULATED</x:v>
      </x:c>
      <x:c r="O246" s="24" t="str">
        <x:v>符合Stage 3计算门槛。</x:v>
      </x:c>
      <x:c r="P246" s="24" t="n">
        <x:v>1</x:v>
      </x:c>
      <x:c r="Q246" s="24"/>
      <x:c r="R246" s="24"/>
      <x:c r="S246" s="24" t="str">
        <x:v>公司层确认PE/VC数为0，因此不存在确认PE/VC间接路径。</x:v>
      </x:c>
      <x:c r="T246" s="24" t="str">
        <x:v>companies:920116</x:v>
      </x:c>
      <x:c r="U246" s="24"/>
      <x:c r="V246" s="24" t="str">
        <x:v>FROZEN_UNCHANGED</x:v>
      </x:c>
      <x:c r="W246" s="24" t="n">
        <x:v>0</x:v>
      </x:c>
    </x:row>
    <x:row r="247" ht="52" customHeight="1">
      <x:c r="A247" s="24" t="str">
        <x:v>920116|CV019</x:v>
      </x:c>
      <x:c r="B247" s="24" t="str">
        <x:v>920116</x:v>
      </x:c>
      <x:c r="C247" s="24" t="str">
        <x:v>星图测控</x:v>
      </x:c>
      <x:c r="D247" s="24" t="str">
        <x:v>CV019</x:v>
      </x:c>
      <x:c r="E247" s="24" t="str">
        <x:v>确认PE/VC进入方式多样性</x:v>
      </x:c>
      <x:c r="F247" s="24" t="str">
        <x:v>PEVC进入方式</x:v>
      </x:c>
      <x:c r="G247" s="24" t="str">
        <x:v>B扩展</x:v>
      </x:c>
      <x:c r="H247" s="24" t="str">
        <x:v>INTEGER</x:v>
      </x:c>
      <x:c r="I247" s="24" t="str">
        <x:v>种</x:v>
      </x:c>
      <x:c r="J247" s="24" t="str">
        <x:v>研究判断派生</x:v>
      </x:c>
      <x:c r="K247" s="24" t="str">
        <x:v>VALID</x:v>
      </x:c>
      <x:c r="L247" s="24" t="n">
        <x:v>0</x:v>
      </x:c>
      <x:c r="M247" s="24" t="str">
        <x:v>VALID</x:v>
      </x:c>
      <x:c r="N247" s="24" t="str">
        <x:v>OBSERVED_OR_CALCULATED</x:v>
      </x:c>
      <x:c r="O247" s="24" t="str">
        <x:v>符合Stage 3计算门槛。</x:v>
      </x:c>
      <x:c r="P247" s="24" t="n">
        <x:v>1</x:v>
      </x:c>
      <x:c r="Q247" s="24"/>
      <x:c r="R247" s="24"/>
      <x:c r="S247" s="24" t="str">
        <x:v>公司层确认PE/VC数为0，因此进入方式种类为0。</x:v>
      </x:c>
      <x:c r="T247" s="24" t="str">
        <x:v>companies:920116</x:v>
      </x:c>
      <x:c r="U247" s="24"/>
      <x:c r="V247" s="24" t="str">
        <x:v>FROZEN_UNCHANGED</x:v>
      </x:c>
      <x:c r="W247" s="24" t="n">
        <x:v>0</x:v>
      </x:c>
    </x:row>
    <x:row r="248" ht="52" customHeight="1">
      <x:c r="A248" s="24" t="str">
        <x:v>920116|CV020</x:v>
      </x:c>
      <x:c r="B248" s="24" t="str">
        <x:v>920116</x:v>
      </x:c>
      <x:c r="C248" s="24" t="str">
        <x:v>星图测控</x:v>
      </x:c>
      <x:c r="D248" s="24" t="str">
        <x:v>CV020</x:v>
      </x:c>
      <x:c r="E248" s="24" t="str">
        <x:v>直接参与法律主体数</x:v>
      </x:c>
      <x:c r="F248" s="24" t="str">
        <x:v>参与结构规模</x:v>
      </x:c>
      <x:c r="G248" s="24" t="str">
        <x:v>A核心</x:v>
      </x:c>
      <x:c r="H248" s="24" t="str">
        <x:v>INTEGER</x:v>
      </x:c>
      <x:c r="I248" s="24" t="str">
        <x:v>个</x:v>
      </x:c>
      <x:c r="J248" s="24" t="str">
        <x:v>计算值</x:v>
      </x:c>
      <x:c r="K248" s="24" t="str">
        <x:v>VALID</x:v>
      </x:c>
      <x:c r="L248" s="24" t="n">
        <x:v>3</x:v>
      </x:c>
      <x:c r="M248" s="24" t="str">
        <x:v>VALID</x:v>
      </x:c>
      <x:c r="N248" s="24" t="str">
        <x:v>OBSERVED_OR_CALCULATED</x:v>
      </x:c>
      <x:c r="O248" s="24" t="str">
        <x:v>符合Stage 3计算门槛。</x:v>
      </x:c>
      <x:c r="P248" s="24" t="n">
        <x:v>0</x:v>
      </x:c>
      <x:c r="Q248" s="24"/>
      <x:c r="R248" s="24"/>
      <x:c r="S248" s="24" t="str">
        <x:v>读取公司层冻结直接参与法律主体数。</x:v>
      </x:c>
      <x:c r="T248" s="24" t="str">
        <x:v>companies:920116</x:v>
      </x:c>
      <x:c r="U248" s="24"/>
      <x:c r="V248" s="24" t="str">
        <x:v>FROZEN_UNCHANGED</x:v>
      </x:c>
      <x:c r="W248" s="24" t="n">
        <x:v>0</x:v>
      </x:c>
    </x:row>
    <x:row r="249" ht="52" customHeight="1">
      <x:c r="A249" s="24" t="str">
        <x:v>920116|CV021</x:v>
      </x:c>
      <x:c r="B249" s="24" t="str">
        <x:v>920116</x:v>
      </x:c>
      <x:c r="C249" s="24" t="str">
        <x:v>星图测控</x:v>
      </x:c>
      <x:c r="D249" s="24" t="str">
        <x:v>CV021</x:v>
      </x:c>
      <x:c r="E249" s="24" t="str">
        <x:v>融资投资方法律主体数</x:v>
      </x:c>
      <x:c r="F249" s="24" t="str">
        <x:v>融资参与广度</x:v>
      </x:c>
      <x:c r="G249" s="24" t="str">
        <x:v>B扩展</x:v>
      </x:c>
      <x:c r="H249" s="24" t="str">
        <x:v>INTEGER</x:v>
      </x:c>
      <x:c r="I249" s="24" t="str">
        <x:v>个</x:v>
      </x:c>
      <x:c r="J249" s="24" t="str">
        <x:v>计算值</x:v>
      </x:c>
      <x:c r="K249" s="24" t="str">
        <x:v>VALID</x:v>
      </x:c>
      <x:c r="L249" s="24" t="n">
        <x:v>3</x:v>
      </x:c>
      <x:c r="M249" s="24" t="str">
        <x:v>VALID</x:v>
      </x:c>
      <x:c r="N249" s="24" t="str">
        <x:v>OBSERVED_OR_CALCULATED</x:v>
      </x:c>
      <x:c r="O249" s="24" t="str">
        <x:v>符合Stage 3计算门槛。</x:v>
      </x:c>
      <x:c r="P249" s="24" t="n">
        <x:v>0</x:v>
      </x:c>
      <x:c r="Q249" s="24" t="str">
        <x:v>ENTITY_NAME_CROSSWALK_LIMITATION</x:v>
      </x:c>
      <x:c r="R249" s="24" t="str">
        <x:v>稳定ID足以计数，但部分PTY名称及PTY↔INV crosswalk未恢复，不能做名称级网络解释。</x:v>
      </x:c>
      <x:c r="S249" s="24" t="str">
        <x:v>融资轮相关交易中筛选INVESTOR，canonical_entity_id优先、否则entity_id去重。</x:v>
      </x:c>
      <x:c r="T249" s="24" t="str">
        <x:v>TRX-920116-0001-01-P01; TRX-920116-0001-01-P02; TRX-920116-0001-01-P03</x:v>
      </x:c>
      <x:c r="U249" s="24"/>
      <x:c r="V249" s="24" t="str">
        <x:v>FROZEN_UNCHANGED</x:v>
      </x:c>
      <x:c r="W249" s="24" t="n">
        <x:v>1</x:v>
      </x:c>
    </x:row>
    <x:row r="250" ht="52" customHeight="1">
      <x:c r="A250" s="24" t="str">
        <x:v>920116|CV022</x:v>
      </x:c>
      <x:c r="B250" s="24" t="str">
        <x:v>920116</x:v>
      </x:c>
      <x:c r="C250" s="24" t="str">
        <x:v>星图测控</x:v>
      </x:c>
      <x:c r="D250" s="24" t="str">
        <x:v>CV022</x:v>
      </x:c>
      <x:c r="E250" s="24" t="str">
        <x:v>每轮融资投资方密度</x:v>
      </x:c>
      <x:c r="F250" s="24" t="str">
        <x:v>融资参与密度</x:v>
      </x:c>
      <x:c r="G250" s="24" t="str">
        <x:v>B扩展</x:v>
      </x:c>
      <x:c r="H250" s="24" t="str">
        <x:v>RATIO</x:v>
      </x:c>
      <x:c r="I250" s="24" t="str">
        <x:v>个/轮</x:v>
      </x:c>
      <x:c r="J250" s="24" t="str">
        <x:v>计算值</x:v>
      </x:c>
      <x:c r="K250" s="24" t="str">
        <x:v>VALID</x:v>
      </x:c>
      <x:c r="L250" s="24" t="n">
        <x:v>3</x:v>
      </x:c>
      <x:c r="M250" s="24" t="str">
        <x:v>VALID</x:v>
      </x:c>
      <x:c r="N250" s="24" t="str">
        <x:v>OBSERVED_OR_CALCULATED</x:v>
      </x:c>
      <x:c r="O250" s="24" t="str">
        <x:v>符合Stage 3计算门槛。</x:v>
      </x:c>
      <x:c r="P250" s="24" t="n">
        <x:v>0</x:v>
      </x:c>
      <x:c r="Q250" s="24" t="str">
        <x:v>ENTITY_NAME_CROSSWALK_LIMITATION</x:v>
      </x:c>
      <x:c r="R250" s="24" t="str">
        <x:v>稳定ID足以计数，但部分PTY名称及PTY↔INV crosswalk未恢复，不能做名称级网络解释。</x:v>
      </x:c>
      <x:c r="S250" s="24" t="str">
        <x:v>融资投资方法律主体数/融资轮数。</x:v>
      </x:c>
      <x:c r="T250" s="24" t="str">
        <x:v>TRX-920116-0001-01-P01; TRX-920116-0001-01-P02; TRX-920116-0001-01-P03</x:v>
      </x:c>
      <x:c r="U250" s="24"/>
      <x:c r="V250" s="24" t="str">
        <x:v>FROZEN_UNCHANGED</x:v>
      </x:c>
      <x:c r="W250" s="24" t="n">
        <x:v>1</x:v>
      </x:c>
    </x:row>
    <x:row r="251" ht="52" customHeight="1">
      <x:c r="A251" s="24" t="str">
        <x:v>920116|CV023</x:v>
      </x:c>
      <x:c r="B251" s="24" t="str">
        <x:v>920116</x:v>
      </x:c>
      <x:c r="C251" s="24" t="str">
        <x:v>星图测控</x:v>
      </x:c>
      <x:c r="D251" s="24" t="str">
        <x:v>CV023</x:v>
      </x:c>
      <x:c r="E251" s="24" t="str">
        <x:v>融资方式多样性</x:v>
      </x:c>
      <x:c r="F251" s="24" t="str">
        <x:v>融资机制</x:v>
      </x:c>
      <x:c r="G251" s="24" t="str">
        <x:v>B扩展</x:v>
      </x:c>
      <x:c r="H251" s="24" t="str">
        <x:v>INTEGER</x:v>
      </x:c>
      <x:c r="I251" s="24" t="str">
        <x:v>种</x:v>
      </x:c>
      <x:c r="J251" s="24" t="str">
        <x:v>计算值</x:v>
      </x:c>
      <x:c r="K251" s="24" t="str">
        <x:v>VALID</x:v>
      </x:c>
      <x:c r="L251" s="24" t="n">
        <x:v>1</x:v>
      </x:c>
      <x:c r="M251" s="24" t="str">
        <x:v>VALID</x:v>
      </x:c>
      <x:c r="N251" s="24" t="str">
        <x:v>OBSERVED_OR_CALCULATED</x:v>
      </x:c>
      <x:c r="O251" s="24" t="str">
        <x:v>符合Stage 3计算门槛。</x:v>
      </x:c>
      <x:c r="P251" s="24" t="n">
        <x:v>0</x:v>
      </x:c>
      <x:c r="Q251" s="24"/>
      <x:c r="R251" s="24"/>
      <x:c r="S251" s="24" t="str">
        <x:v>融资交易组成标准化方式=['DIRECTIONAL_ISSUANCE']。</x:v>
      </x:c>
      <x:c r="T251" s="24" t="str">
        <x:v>TRX-920116-0001-01</x:v>
      </x:c>
      <x:c r="U251" s="24"/>
      <x:c r="V251" s="24" t="str">
        <x:v>FROZEN_UNCHANGED</x:v>
      </x:c>
      <x:c r="W251" s="24" t="n">
        <x:v>0</x:v>
      </x:c>
    </x:row>
    <x:row r="252" ht="52" customHeight="1">
      <x:c r="A252" s="24" t="str">
        <x:v>920116|CV024</x:v>
      </x:c>
      <x:c r="B252" s="24" t="str">
        <x:v>920116</x:v>
      </x:c>
      <x:c r="C252" s="24" t="str">
        <x:v>星图测控</x:v>
      </x:c>
      <x:c r="D252" s="24" t="str">
        <x:v>CV024</x:v>
      </x:c>
      <x:c r="E252" s="24" t="str">
        <x:v>股权转让交易数</x:v>
      </x:c>
      <x:c r="F252" s="24" t="str">
        <x:v>二级股权流动</x:v>
      </x:c>
      <x:c r="G252" s="24" t="str">
        <x:v>A核心</x:v>
      </x:c>
      <x:c r="H252" s="24" t="str">
        <x:v>INTEGER</x:v>
      </x:c>
      <x:c r="I252" s="24" t="str">
        <x:v>笔</x:v>
      </x:c>
      <x:c r="J252" s="24" t="str">
        <x:v>计算值</x:v>
      </x:c>
      <x:c r="K252" s="24" t="str">
        <x:v>VALID</x:v>
      </x:c>
      <x:c r="L252" s="24" t="n">
        <x:v>0</x:v>
      </x:c>
      <x:c r="M252" s="24" t="str">
        <x:v>VALID</x:v>
      </x:c>
      <x:c r="N252" s="24" t="str">
        <x:v>OBSERVED_OR_CALCULATED</x:v>
      </x:c>
      <x:c r="O252" s="24" t="str">
        <x:v>符合Stage 3计算门槛。</x:v>
      </x:c>
      <x:c r="P252" s="24" t="n">
        <x:v>1</x:v>
      </x:c>
      <x:c r="Q252" s="24"/>
      <x:c r="R252" s="24"/>
      <x:c r="S252" s="24" t="str">
        <x:v>按EQUITY_TRANSFER交易记录计数。</x:v>
      </x:c>
      <x:c r="T252" s="24"/>
      <x:c r="U252" s="24"/>
      <x:c r="V252" s="24" t="str">
        <x:v>FROZEN_UNCHANGED</x:v>
      </x:c>
      <x:c r="W252" s="24" t="n">
        <x:v>0</x:v>
      </x:c>
    </x:row>
    <x:row r="253" ht="52" customHeight="1">
      <x:c r="A253" s="24" t="str">
        <x:v>920116|CV025</x:v>
      </x:c>
      <x:c r="B253" s="24" t="str">
        <x:v>920116</x:v>
      </x:c>
      <x:c r="C253" s="24" t="str">
        <x:v>星图测控</x:v>
      </x:c>
      <x:c r="D253" s="24" t="str">
        <x:v>CV025</x:v>
      </x:c>
      <x:c r="E253" s="24" t="str">
        <x:v>可核验股权转让对价下限</x:v>
      </x:c>
      <x:c r="F253" s="24" t="str">
        <x:v>二级股权流动</x:v>
      </x:c>
      <x:c r="G253" s="24" t="str">
        <x:v>A核心</x:v>
      </x:c>
      <x:c r="H253" s="24" t="str">
        <x:v>CONTINUOUS</x:v>
      </x:c>
      <x:c r="I253" s="24" t="str">
        <x:v>万元人民币</x:v>
      </x:c>
      <x:c r="J253" s="24" t="str">
        <x:v>标准化值+计算值</x:v>
      </x:c>
      <x:c r="K253" s="24" t="str">
        <x:v>STRUCTURAL_NA</x:v>
      </x:c>
      <x:c r="L253" s="24"/>
      <x:c r="M253" s="24" t="str">
        <x:v>STRUCTURAL_NA</x:v>
      </x:c>
      <x:c r="N253" s="24" t="str">
        <x:v>STRUCTURAL_NA_TRANSFER_NOT_APPLICABLE</x:v>
      </x:c>
      <x:c r="O253" s="24" t="str">
        <x:v>公司层转让金额状态为NOT_APPLICABLE。</x:v>
      </x:c>
      <x:c r="P253" s="24" t="n">
        <x:v>0</x:v>
      </x:c>
      <x:c r="Q253" s="24"/>
      <x:c r="R253" s="24"/>
      <x:c r="S253" s="24" t="str">
        <x:v>不将不适用金额补0。</x:v>
      </x:c>
      <x:c r="T253" s="24" t="str">
        <x:v>companies:920116</x:v>
      </x:c>
      <x:c r="U253" s="24"/>
      <x:c r="V253" s="24" t="str">
        <x:v>FROZEN_UNCHANGED</x:v>
      </x:c>
      <x:c r="W253" s="24" t="n">
        <x:v>0</x:v>
      </x:c>
    </x:row>
    <x:row r="254" ht="52" customHeight="1">
      <x:c r="A254" s="24" t="str">
        <x:v>920116|CV026</x:v>
      </x:c>
      <x:c r="B254" s="24" t="str">
        <x:v>920116</x:v>
      </x:c>
      <x:c r="C254" s="24" t="str">
        <x:v>星图测控</x:v>
      </x:c>
      <x:c r="D254" s="24" t="str">
        <x:v>CV026</x:v>
      </x:c>
      <x:c r="E254" s="24" t="str">
        <x:v>转让对价与融资金额比</x:v>
      </x:c>
      <x:c r="F254" s="24" t="str">
        <x:v>二级股权流动</x:v>
      </x:c>
      <x:c r="G254" s="24" t="str">
        <x:v>B扩展</x:v>
      </x:c>
      <x:c r="H254" s="24" t="str">
        <x:v>RATIO</x:v>
      </x:c>
      <x:c r="I254" s="24" t="str">
        <x:v>0–∞</x:v>
      </x:c>
      <x:c r="J254" s="24" t="str">
        <x:v>计算值</x:v>
      </x:c>
      <x:c r="K254" s="24" t="str">
        <x:v>STRUCTURAL_NA</x:v>
      </x:c>
      <x:c r="L254" s="24"/>
      <x:c r="M254" s="24" t="str">
        <x:v>STRUCTURAL_NA</x:v>
      </x:c>
      <x:c r="N254" s="24" t="str">
        <x:v>STRUCTURAL_NA_TRANSFER_NOT_APPLICABLE</x:v>
      </x:c>
      <x:c r="O254" s="24" t="str">
        <x:v>转让金额不适用，因此转让/融资比率不适用。</x:v>
      </x:c>
      <x:c r="P254" s="24" t="n">
        <x:v>0</x:v>
      </x:c>
      <x:c r="Q254" s="24"/>
      <x:c r="R254" s="24"/>
      <x:c r="S254" s="24" t="str">
        <x:v>不将不适用比率补0。</x:v>
      </x:c>
      <x:c r="T254" s="24" t="str">
        <x:v>companies:920116</x:v>
      </x:c>
      <x:c r="U254" s="24"/>
      <x:c r="V254" s="24" t="str">
        <x:v>FROZEN_UNCHANGED</x:v>
      </x:c>
      <x:c r="W254" s="24" t="n">
        <x:v>0</x:v>
      </x:c>
    </x:row>
    <x:row r="255" ht="52" customHeight="1">
      <x:c r="A255" s="24" t="str">
        <x:v>920116|CV027</x:v>
      </x:c>
      <x:c r="B255" s="24" t="str">
        <x:v>920116</x:v>
      </x:c>
      <x:c r="C255" s="24" t="str">
        <x:v>星图测控</x:v>
      </x:c>
      <x:c r="D255" s="24" t="str">
        <x:v>CV027</x:v>
      </x:c>
      <x:c r="E255" s="24" t="str">
        <x:v>金额已知融资轮数</x:v>
      </x:c>
      <x:c r="F255" s="24" t="str">
        <x:v>数据可用性</x:v>
      </x:c>
      <x:c r="G255" s="24" t="str">
        <x:v>Q质量</x:v>
      </x:c>
      <x:c r="H255" s="24" t="str">
        <x:v>INTEGER</x:v>
      </x:c>
      <x:c r="I255" s="24" t="str">
        <x:v>轮</x:v>
      </x:c>
      <x:c r="J255" s="24" t="str">
        <x:v>计算值</x:v>
      </x:c>
      <x:c r="K255" s="24" t="str">
        <x:v>VALID</x:v>
      </x:c>
      <x:c r="L255" s="24" t="n">
        <x:v>1</x:v>
      </x:c>
      <x:c r="M255" s="24" t="str">
        <x:v>VALID</x:v>
      </x:c>
      <x:c r="N255" s="24" t="str">
        <x:v>OBSERVED_OR_CALCULATED</x:v>
      </x:c>
      <x:c r="O255" s="24" t="str">
        <x:v>符合Stage 3计算门槛。</x:v>
      </x:c>
      <x:c r="P255" s="24" t="n">
        <x:v>0</x:v>
      </x:c>
      <x:c r="Q255" s="24"/>
      <x:c r="R255" s="24"/>
      <x:c r="S255" s="24" t="str">
        <x:v>融资轮中金额非null记录数。</x:v>
      </x:c>
      <x:c r="T255" s="24" t="str">
        <x:v>EVT-920116-0001</x:v>
      </x:c>
      <x:c r="U255" s="24"/>
      <x:c r="V255" s="24" t="str">
        <x:v>FROZEN_UNCHANGED</x:v>
      </x:c>
      <x:c r="W255" s="24" t="n">
        <x:v>0</x:v>
      </x:c>
    </x:row>
    <x:row r="256" ht="52" customHeight="1">
      <x:c r="A256" s="24" t="str">
        <x:v>920116|CV028</x:v>
      </x:c>
      <x:c r="B256" s="24" t="str">
        <x:v>920116</x:v>
      </x:c>
      <x:c r="C256" s="24" t="str">
        <x:v>星图测控</x:v>
      </x:c>
      <x:c r="D256" s="24" t="str">
        <x:v>CV028</x:v>
      </x:c>
      <x:c r="E256" s="24" t="str">
        <x:v>融资轮金额覆盖率</x:v>
      </x:c>
      <x:c r="F256" s="24" t="str">
        <x:v>数据可用性</x:v>
      </x:c>
      <x:c r="G256" s="24" t="str">
        <x:v>Q质量</x:v>
      </x:c>
      <x:c r="H256" s="24" t="str">
        <x:v>RATIO</x:v>
      </x:c>
      <x:c r="I256" s="24" t="str">
        <x:v>0–1</x:v>
      </x:c>
      <x:c r="J256" s="24" t="str">
        <x:v>计算值</x:v>
      </x:c>
      <x:c r="K256" s="24" t="str">
        <x:v>VALID</x:v>
      </x:c>
      <x:c r="L256" s="24" t="n">
        <x:v>1</x:v>
      </x:c>
      <x:c r="M256" s="24" t="str">
        <x:v>VALID</x:v>
      </x:c>
      <x:c r="N256" s="24" t="str">
        <x:v>OBSERVED_OR_CALCULATED</x:v>
      </x:c>
      <x:c r="O256" s="24" t="str">
        <x:v>符合Stage 3计算门槛。</x:v>
      </x:c>
      <x:c r="P256" s="24" t="n">
        <x:v>0</x:v>
      </x:c>
      <x:c r="Q256" s="24"/>
      <x:c r="R256" s="24"/>
      <x:c r="S256" s="24" t="str">
        <x:v>金额非null融资轮数/融资轮总数。</x:v>
      </x:c>
      <x:c r="T256" s="24" t="str">
        <x:v>EVT-920116-0001</x:v>
      </x:c>
      <x:c r="U256" s="24"/>
      <x:c r="V256" s="24" t="str">
        <x:v>FROZEN_UNCHANGED</x:v>
      </x:c>
      <x:c r="W256" s="24" t="n">
        <x:v>0</x:v>
      </x:c>
    </x:row>
    <x:row r="257" ht="52" customHeight="1">
      <x:c r="A257" s="24" t="str">
        <x:v>920116|CV029</x:v>
      </x:c>
      <x:c r="B257" s="24" t="str">
        <x:v>920116</x:v>
      </x:c>
      <x:c r="C257" s="24" t="str">
        <x:v>星图测控</x:v>
      </x:c>
      <x:c r="D257" s="24" t="str">
        <x:v>CV029</x:v>
      </x:c>
      <x:c r="E257" s="24" t="str">
        <x:v>融资轮日期覆盖率</x:v>
      </x:c>
      <x:c r="F257" s="24" t="str">
        <x:v>数据可用性</x:v>
      </x:c>
      <x:c r="G257" s="24" t="str">
        <x:v>Q质量</x:v>
      </x:c>
      <x:c r="H257" s="24" t="str">
        <x:v>RATIO</x:v>
      </x:c>
      <x:c r="I257" s="24" t="str">
        <x:v>0–1</x:v>
      </x:c>
      <x:c r="J257" s="24" t="str">
        <x:v>计算值</x:v>
      </x:c>
      <x:c r="K257" s="24" t="str">
        <x:v>VALID</x:v>
      </x:c>
      <x:c r="L257" s="24" t="n">
        <x:v>1</x:v>
      </x:c>
      <x:c r="M257" s="24" t="str">
        <x:v>VALID</x:v>
      </x:c>
      <x:c r="N257" s="24" t="str">
        <x:v>OBSERVED_OR_CALCULATED</x:v>
      </x:c>
      <x:c r="O257" s="24" t="str">
        <x:v>符合Stage 3计算门槛。</x:v>
      </x:c>
      <x:c r="P257" s="24" t="n">
        <x:v>0</x:v>
      </x:c>
      <x:c r="Q257" s="24"/>
      <x:c r="R257" s="24"/>
      <x:c r="S257" s="24" t="str">
        <x:v>DAY或MONTH精度融资轮数/融资轮总数。</x:v>
      </x:c>
      <x:c r="T257" s="24" t="str">
        <x:v>EVT-920116-0001</x:v>
      </x:c>
      <x:c r="U257" s="24"/>
      <x:c r="V257" s="24" t="str">
        <x:v>FROZEN_UNCHANGED</x:v>
      </x:c>
      <x:c r="W257" s="24" t="n">
        <x:v>0</x:v>
      </x:c>
    </x:row>
    <x:row r="258" ht="52" customHeight="1">
      <x:c r="A258" s="24" t="str">
        <x:v>920116|CV030</x:v>
      </x:c>
      <x:c r="B258" s="24" t="str">
        <x:v>920116</x:v>
      </x:c>
      <x:c r="C258" s="24" t="str">
        <x:v>星图测控</x:v>
      </x:c>
      <x:c r="D258" s="24" t="str">
        <x:v>CV030</x:v>
      </x:c>
      <x:c r="E258" s="24" t="str">
        <x:v>计算型轮次金额占比</x:v>
      </x:c>
      <x:c r="F258" s="24" t="str">
        <x:v>数值来源结构</x:v>
      </x:c>
      <x:c r="G258" s="24" t="str">
        <x:v>Q质量</x:v>
      </x:c>
      <x:c r="H258" s="24" t="str">
        <x:v>RATIO</x:v>
      </x:c>
      <x:c r="I258" s="24" t="str">
        <x:v>0–1</x:v>
      </x:c>
      <x:c r="J258" s="24" t="str">
        <x:v>计算值</x:v>
      </x:c>
      <x:c r="K258" s="24" t="str">
        <x:v>VALID</x:v>
      </x:c>
      <x:c r="L258" s="24" t="n">
        <x:v>0</x:v>
      </x:c>
      <x:c r="M258" s="24" t="str">
        <x:v>VALID</x:v>
      </x:c>
      <x:c r="N258" s="24" t="str">
        <x:v>OBSERVED_OR_CALCULATED</x:v>
      </x:c>
      <x:c r="O258" s="24" t="str">
        <x:v>符合Stage 3计算门槛。</x:v>
      </x:c>
      <x:c r="P258" s="24" t="n">
        <x:v>1</x:v>
      </x:c>
      <x:c r="Q258" s="24"/>
      <x:c r="R258" s="24"/>
      <x:c r="S258" s="24" t="str">
        <x:v>CALCULATED已知金额轮数/已知金额轮数。</x:v>
      </x:c>
      <x:c r="T258" s="24" t="str">
        <x:v>EVT-920116-0001</x:v>
      </x:c>
      <x:c r="U258" s="24"/>
      <x:c r="V258" s="24" t="str">
        <x:v>FROZEN_UNCHANGED</x:v>
      </x:c>
      <x:c r="W258" s="24" t="n">
        <x:v>0</x:v>
      </x:c>
    </x:row>
    <x:row r="259" ht="52" customHeight="1">
      <x:c r="A259" s="24" t="str">
        <x:v>920116|CV031</x:v>
      </x:c>
      <x:c r="B259" s="24" t="str">
        <x:v>920116</x:v>
      </x:c>
      <x:c r="C259" s="24" t="str">
        <x:v>星图测控</x:v>
      </x:c>
      <x:c r="D259" s="24" t="str">
        <x:v>CV031</x:v>
      </x:c>
      <x:c r="E259" s="24" t="str">
        <x:v>每轮融资证据记录数</x:v>
      </x:c>
      <x:c r="F259" s="24" t="str">
        <x:v>证据密度</x:v>
      </x:c>
      <x:c r="G259" s="24" t="str">
        <x:v>Q质量</x:v>
      </x:c>
      <x:c r="H259" s="24" t="str">
        <x:v>RATIO</x:v>
      </x:c>
      <x:c r="I259" s="24" t="str">
        <x:v>条/轮</x:v>
      </x:c>
      <x:c r="J259" s="24" t="str">
        <x:v>计算值</x:v>
      </x:c>
      <x:c r="K259" s="24" t="str">
        <x:v>VALID</x:v>
      </x:c>
      <x:c r="L259" s="24" t="n">
        <x:v>5</x:v>
      </x:c>
      <x:c r="M259" s="24" t="str">
        <x:v>VALID</x:v>
      </x:c>
      <x:c r="N259" s="24" t="str">
        <x:v>OBSERVED_OR_CALCULATED</x:v>
      </x:c>
      <x:c r="O259" s="24" t="str">
        <x:v>符合Stage 3计算门槛。</x:v>
      </x:c>
      <x:c r="P259" s="24" t="n">
        <x:v>0</x:v>
      </x:c>
      <x:c r="Q259" s="24"/>
      <x:c r="R259" s="24"/>
      <x:c r="S259" s="24" t="str">
        <x:v>关联融资轮的去重evidence_id数/融资轮数。</x:v>
      </x:c>
      <x:c r="T259" s="24" t="str">
        <x:v>EVD-920116-0001-01; EVD-920116-0001-02; EVD-920116-0001-03; EVD-920116-0001-04; EVD-920116-0001-05</x:v>
      </x:c>
      <x:c r="U259" s="24"/>
      <x:c r="V259" s="24" t="str">
        <x:v>FROZEN_UNCHANGED</x:v>
      </x:c>
      <x:c r="W259" s="24" t="n">
        <x:v>0</x:v>
      </x:c>
    </x:row>
    <x:row r="260" ht="52" customHeight="1">
      <x:c r="A260" s="25" t="str">
        <x:v>920116|CV032</x:v>
      </x:c>
      <x:c r="B260" s="25" t="str">
        <x:v>920116</x:v>
      </x:c>
      <x:c r="C260" s="25" t="str">
        <x:v>星图测控</x:v>
      </x:c>
      <x:c r="D260" s="25" t="str">
        <x:v>CV032</x:v>
      </x:c>
      <x:c r="E260" s="25" t="str">
        <x:v>公司级披露限制标记</x:v>
      </x:c>
      <x:c r="F260" s="25" t="str">
        <x:v>披露边界</x:v>
      </x:c>
      <x:c r="G260" s="25" t="str">
        <x:v>Q质量</x:v>
      </x:c>
      <x:c r="H260" s="25" t="str">
        <x:v>BINARY</x:v>
      </x:c>
      <x:c r="I260" s="25" t="str">
        <x:v>0/1</x:v>
      </x:c>
      <x:c r="J260" s="25" t="str">
        <x:v>研究判断派生</x:v>
      </x:c>
      <x:c r="K260" s="25" t="str">
        <x:v>VALID</x:v>
      </x:c>
      <x:c r="L260" s="25" t="n">
        <x:v>0</x:v>
      </x:c>
      <x:c r="M260" s="25" t="str">
        <x:v>VALID</x:v>
      </x:c>
      <x:c r="N260" s="25" t="str">
        <x:v>OBSERVED_OR_CALCULATED</x:v>
      </x:c>
      <x:c r="O260" s="25" t="str">
        <x:v>符合Stage 3计算门槛。</x:v>
      </x:c>
      <x:c r="P260" s="25" t="n">
        <x:v>1</x:v>
      </x:c>
      <x:c r="Q260" s="25"/>
      <x:c r="R260" s="25"/>
      <x:c r="S260" s="25" t="str">
        <x:v>FINAL_APPROVED公司记录中检查disclosure_limitation是否非空。</x:v>
      </x:c>
      <x:c r="T260" s="25" t="str">
        <x:v>companies:920116</x:v>
      </x:c>
      <x:c r="U260" s="25"/>
      <x:c r="V260" s="25" t="str">
        <x:v>FROZEN_UNCHANGED</x:v>
      </x:c>
      <x:c r="W260" s="25" t="n">
        <x:v>0</x:v>
      </x:c>
    </x:row>
  </x:sheetData>
  <x:mergeCells>
    <x:mergeCell ref="A1:W1"/>
    <x:mergeCell ref="A2:W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22" hidden="0" customWidth="1"/>
    <x:col min="4" max="4" width="18" hidden="0" customWidth="1"/>
    <x:col min="5" max="5" width="18" hidden="0" customWidth="1"/>
    <x:col min="6" max="6" width="18" hidden="0" customWidth="1"/>
    <x:col min="7" max="7" width="18" hidden="0" customWidth="1"/>
    <x:col min="8" max="8" width="20" hidden="0" customWidth="1"/>
    <x:col min="9" max="9" width="20" hidden="0" customWidth="1"/>
    <x:col min="10" max="10" width="22" hidden="0" customWidth="1"/>
    <x:col min="11" max="11" width="22" hidden="0" customWidth="1"/>
    <x:col min="12" max="12" width="28" hidden="0" customWidth="1"/>
    <x:col min="13" max="13" width="38" hidden="0" customWidth="1"/>
    <x:col min="14" max="14" width="38" hidden="0" customWidth="1"/>
    <x:col min="15" max="15" width="38" hidden="0" customWidth="1"/>
    <x:col min="16" max="16" width="32" hidden="0" customWidth="1"/>
    <x:col min="17" max="17" width="38" hidden="0" customWidth="1"/>
  </x:cols>
  <x:sheetData>
    <x:row r="1" ht="32" customHeight="1">
      <x:c r="A1" s="34" t="str">
        <x:v>学术价值与商业价值整合地图</x:v>
      </x:c>
      <x:c r="B1" s="34"/>
      <x:c r="C1" s="34"/>
      <x:c r="D1" s="34"/>
      <x:c r="E1" s="34"/>
      <x:c r="F1" s="34"/>
      <x:c r="G1" s="34"/>
      <x:c r="H1" s="34"/>
      <x:c r="I1" s="34"/>
      <x:c r="J1" s="34"/>
      <x:c r="K1" s="34"/>
      <x:c r="L1" s="34"/>
      <x:c r="M1" s="34"/>
      <x:c r="N1" s="34"/>
      <x:c r="O1" s="34"/>
      <x:c r="P1" s="34"/>
      <x:c r="Q1" s="34"/>
    </x:row>
    <x:row r="2" ht="38" customHeight="1">
      <x:c r="A2" s="35" t="str">
        <x:v>不生成学术—商业综合总分；变量角色、组合、轴、闸门和约束均保留原边界。</x:v>
      </x:c>
      <x:c r="B2" s="35"/>
      <x:c r="C2" s="35"/>
      <x:c r="D2" s="35"/>
      <x:c r="E2" s="35"/>
      <x:c r="F2" s="35"/>
      <x:c r="G2" s="35"/>
      <x:c r="H2" s="35"/>
      <x:c r="I2" s="35"/>
      <x:c r="J2" s="35"/>
      <x:c r="K2" s="35"/>
      <x:c r="L2" s="35"/>
      <x:c r="M2" s="35"/>
      <x:c r="N2" s="35"/>
      <x:c r="O2" s="35"/>
      <x:c r="P2" s="35"/>
      <x:c r="Q2" s="35"/>
    </x:row>
    <x:row r="3">
      <x:c r="A3" s="36"/>
      <x:c r="B3" s="36"/>
      <x:c r="C3" s="36"/>
      <x:c r="D3" s="36"/>
      <x:c r="E3" s="36"/>
      <x:c r="F3" s="36"/>
      <x:c r="G3" s="36"/>
      <x:c r="H3" s="36"/>
      <x:c r="I3" s="36"/>
      <x:c r="J3" s="36"/>
      <x:c r="K3" s="36"/>
      <x:c r="L3" s="36"/>
      <x:c r="M3" s="36"/>
      <x:c r="N3" s="36"/>
      <x:c r="O3" s="36"/>
      <x:c r="P3" s="36"/>
      <x:c r="Q3" s="36"/>
    </x:row>
    <x:row r="4" ht="38" customHeight="1">
      <x:c r="A4" s="38" t="str">
        <x:v>变量ID</x:v>
      </x:c>
      <x:c r="B4" s="38" t="str">
        <x:v>变量名称</x:v>
      </x:c>
      <x:c r="C4" s="38" t="str">
        <x:v>构念</x:v>
      </x:c>
      <x:c r="D4" s="38" t="str">
        <x:v>Stage5路线</x:v>
      </x:c>
      <x:c r="E4" s="38" t="str">
        <x:v>学术总分</x:v>
      </x:c>
      <x:c r="F4" s="38" t="str">
        <x:v>学术处置</x:v>
      </x:c>
      <x:c r="G4" s="38" t="str">
        <x:v>商业总分</x:v>
      </x:c>
      <x:c r="H4" s="38" t="str">
        <x:v>商业处置</x:v>
      </x:c>
      <x:c r="I4" s="38" t="str">
        <x:v>整合层级</x:v>
      </x:c>
      <x:c r="J4" s="38" t="str">
        <x:v>整合角色</x:v>
      </x:c>
      <x:c r="K4" s="38" t="str">
        <x:v>变量组合包</x:v>
      </x:c>
      <x:c r="L4" s="38" t="str">
        <x:v>主/替代状态</x:v>
      </x:c>
      <x:c r="M4" s="38" t="str">
        <x:v>强制伴随项</x:v>
      </x:c>
      <x:c r="N4" s="38" t="str">
        <x:v>解释边界</x:v>
      </x:c>
      <x:c r="O4" s="38" t="str">
        <x:v>学术来源层</x:v>
      </x:c>
      <x:c r="P4" s="38" t="str">
        <x:v>商业来源层</x:v>
      </x:c>
      <x:c r="Q4" s="38" t="str">
        <x:v>整合判断层</x:v>
      </x:c>
    </x:row>
    <x:row r="5" ht="54" customHeight="1">
      <x:c r="A5" s="24" t="str">
        <x:v>CV001</x:v>
      </x:c>
      <x:c r="B5" s="24" t="str">
        <x:v>上市前直接股权融资发生标记</x:v>
      </x:c>
      <x:c r="C5" s="24" t="str">
        <x:v>融资经历</x:v>
      </x:c>
      <x:c r="D5" s="24" t="str">
        <x:v>CROSS_SECTIONAL_DESCRIPTIVE</x:v>
      </x:c>
      <x:c r="E5" s="24" t="n">
        <x:v>9</x:v>
      </x:c>
      <x:c r="F5" s="24" t="str">
        <x:v>探索候选</x:v>
      </x:c>
      <x:c r="G5" s="24" t="n">
        <x:v>10</x:v>
      </x:c>
      <x:c r="H5" s="24" t="str">
        <x:v>核心应用</x:v>
      </x:c>
      <x:c r="I5" s="24" t="str">
        <x:v>COMMERCIAL_CORE</x:v>
      </x:c>
      <x:c r="J5" s="24" t="str">
        <x:v>画像入口；不单独理论解释</x:v>
      </x:c>
      <x:c r="K5" s="24" t="str">
        <x:v>B01 融资强度与规模</x:v>
      </x:c>
      <x:c r="L5" s="24" t="str">
        <x:v>保留为主变量或独立维度</x:v>
      </x:c>
      <x:c r="M5" s="24" t="str">
        <x:v>CV032与公司披露限制</x:v>
      </x:c>
      <x:c r="N5" s="24" t="str">
        <x:v>仅用于八家公司描述和案例选择，不做因果、显著性或优劣判断。</x:v>
      </x:c>
      <x:c r="O5" s="24" t="str">
        <x:v>Stage5B导入</x:v>
      </x:c>
      <x:c r="P5" s="24" t="str">
        <x:v>Stage5C导入</x:v>
      </x:c>
      <x:c r="Q5" s="24" t="str">
        <x:v>研究判断</x:v>
      </x:c>
    </x:row>
    <x:row r="6" ht="54" customHeight="1">
      <x:c r="A6" s="24" t="str">
        <x:v>CV002</x:v>
      </x:c>
      <x:c r="B6" s="24" t="str">
        <x:v>上市前直接股权融资轮数</x:v>
      </x:c>
      <x:c r="C6" s="24" t="str">
        <x:v>融资频度</x:v>
      </x:c>
      <x:c r="D6" s="24" t="str">
        <x:v>CROSS_SECTIONAL_DESCRIPTIVE</x:v>
      </x:c>
      <x:c r="E6" s="24" t="n">
        <x:v>11</x:v>
      </x:c>
      <x:c r="F6" s="24" t="str">
        <x:v>优先候选</x:v>
      </x:c>
      <x:c r="G6" s="24" t="n">
        <x:v>10</x:v>
      </x:c>
      <x:c r="H6" s="24" t="str">
        <x:v>核心应用</x:v>
      </x:c>
      <x:c r="I6" s="24" t="str">
        <x:v>DUAL_CORE</x:v>
      </x:c>
      <x:c r="J6" s="24" t="str">
        <x:v>后续选择主轴核心</x:v>
      </x:c>
      <x:c r="K6" s="24" t="str">
        <x:v>B01 融资强度与规模</x:v>
      </x:c>
      <x:c r="L6" s="24" t="str">
        <x:v>保留为主变量或独立维度</x:v>
      </x:c>
      <x:c r="M6" s="24" t="str">
        <x:v>CV032与公司披露限制</x:v>
      </x:c>
      <x:c r="N6" s="24" t="str">
        <x:v>仅用于八家公司描述和案例选择，不做因果、显著性或优劣判断。</x:v>
      </x:c>
      <x:c r="O6" s="24" t="str">
        <x:v>Stage5B导入</x:v>
      </x:c>
      <x:c r="P6" s="24" t="str">
        <x:v>Stage5C导入</x:v>
      </x:c>
      <x:c r="Q6" s="24" t="str">
        <x:v>研究判断</x:v>
      </x:c>
    </x:row>
    <x:row r="7" ht="54" customHeight="1">
      <x:c r="A7" s="24" t="str">
        <x:v>CV003</x:v>
      </x:c>
      <x:c r="B7" s="24" t="str">
        <x:v>可核验融资金额下限</x:v>
      </x:c>
      <x:c r="C7" s="24" t="str">
        <x:v>融资规模</x:v>
      </x:c>
      <x:c r="D7" s="24" t="str">
        <x:v>CROSS_SECTIONAL_DESCRIPTIVE</x:v>
      </x:c>
      <x:c r="E7" s="24" t="n">
        <x:v>11</x:v>
      </x:c>
      <x:c r="F7" s="24" t="str">
        <x:v>优先候选</x:v>
      </x:c>
      <x:c r="G7" s="24" t="n">
        <x:v>8</x:v>
      </x:c>
      <x:c r="H7" s="24" t="str">
        <x:v>辅助应用</x:v>
      </x:c>
      <x:c r="I7" s="24" t="str">
        <x:v>RESEARCH_CORE</x:v>
      </x:c>
      <x:c r="J7" s="24" t="str">
        <x:v>研究问题核心；商业辅助</x:v>
      </x:c>
      <x:c r="K7" s="24" t="str">
        <x:v>B01 融资强度与规模</x:v>
      </x:c>
      <x:c r="L7" s="24" t="str">
        <x:v>保留为主变量或独立维度</x:v>
      </x:c>
      <x:c r="M7" s="24" t="str">
        <x:v>融资金额状态、CV028、CV030、CV032</x:v>
      </x:c>
      <x:c r="N7" s="24" t="str">
        <x:v>金额均基于可核验下限或已知金额轮次；不得解释为真实累计融资。</x:v>
      </x:c>
      <x:c r="O7" s="24" t="str">
        <x:v>Stage5B导入</x:v>
      </x:c>
      <x:c r="P7" s="24" t="str">
        <x:v>Stage5C导入</x:v>
      </x:c>
      <x:c r="Q7" s="24" t="str">
        <x:v>研究判断</x:v>
      </x:c>
    </x:row>
    <x:row r="8" ht="54" customHeight="1">
      <x:c r="A8" s="24" t="str">
        <x:v>CV004</x:v>
      </x:c>
      <x:c r="B8" s="24" t="str">
        <x:v>融资金额下限对数</x:v>
      </x:c>
      <x:c r="C8" s="24" t="str">
        <x:v>融资规模</x:v>
      </x:c>
      <x:c r="D8" s="24" t="str">
        <x:v>CROSS_SECTIONAL_DESCRIPTIVE</x:v>
      </x:c>
      <x:c r="E8" s="24" t="n">
        <x:v>9</x:v>
      </x:c>
      <x:c r="F8" s="24" t="str">
        <x:v>探索候选</x:v>
      </x:c>
      <x:c r="G8" s="24" t="n">
        <x:v>6</x:v>
      </x:c>
      <x:c r="H8" s="24" t="str">
        <x:v>辅助应用</x:v>
      </x:c>
      <x:c r="I8" s="24" t="str">
        <x:v>DUAL_SUPPORT</x:v>
      </x:c>
      <x:c r="J8" s="24" t="str">
        <x:v>替代或补充解释</x:v>
      </x:c>
      <x:c r="K8" s="24" t="str">
        <x:v>B01 融资强度与规模</x:v>
      </x:c>
      <x:c r="L8" s="24" t="str">
        <x:v>替代/敏感性变量</x:v>
      </x:c>
      <x:c r="M8" s="24" t="str">
        <x:v>融资金额状态、CV028、CV030、CV032</x:v>
      </x:c>
      <x:c r="N8" s="24" t="str">
        <x:v>金额均基于可核验下限或已知金额轮次；不得解释为真实累计融资。</x:v>
      </x:c>
      <x:c r="O8" s="24" t="str">
        <x:v>Stage5B导入</x:v>
      </x:c>
      <x:c r="P8" s="24" t="str">
        <x:v>Stage5C导入</x:v>
      </x:c>
      <x:c r="Q8" s="24" t="str">
        <x:v>研究判断</x:v>
      </x:c>
    </x:row>
    <x:row r="9" ht="54" customHeight="1">
      <x:c r="A9" s="24" t="str">
        <x:v>CV005</x:v>
      </x:c>
      <x:c r="B9" s="24" t="str">
        <x:v>已知金额轮次均值</x:v>
      </x:c>
      <x:c r="C9" s="24" t="str">
        <x:v>单轮融资规模</x:v>
      </x:c>
      <x:c r="D9" s="24" t="str">
        <x:v>CROSS_SECTIONAL_DESCRIPTIVE</x:v>
      </x:c>
      <x:c r="E9" s="24" t="n">
        <x:v>11</x:v>
      </x:c>
      <x:c r="F9" s="24" t="str">
        <x:v>优先候选</x:v>
      </x:c>
      <x:c r="G9" s="24" t="n">
        <x:v>9</x:v>
      </x:c>
      <x:c r="H9" s="24" t="str">
        <x:v>辅助应用</x:v>
      </x:c>
      <x:c r="I9" s="24" t="str">
        <x:v>RESEARCH_CORE</x:v>
      </x:c>
      <x:c r="J9" s="24" t="str">
        <x:v>研究问题核心；商业辅助</x:v>
      </x:c>
      <x:c r="K9" s="24" t="str">
        <x:v>B01 融资强度与规模</x:v>
      </x:c>
      <x:c r="L9" s="24" t="str">
        <x:v>保留为主变量或独立维度</x:v>
      </x:c>
      <x:c r="M9" s="24" t="str">
        <x:v>CV027、CV028；必要时CV030</x:v>
      </x:c>
      <x:c r="N9" s="24" t="str">
        <x:v>金额均基于可核验下限或已知金额轮次；不得解释为真实累计融资。</x:v>
      </x:c>
      <x:c r="O9" s="24" t="str">
        <x:v>Stage5B导入</x:v>
      </x:c>
      <x:c r="P9" s="24" t="str">
        <x:v>Stage5C导入</x:v>
      </x:c>
      <x:c r="Q9" s="24" t="str">
        <x:v>研究判断</x:v>
      </x:c>
    </x:row>
    <x:row r="10" ht="54" customHeight="1">
      <x:c r="A10" s="24" t="str">
        <x:v>CV006</x:v>
      </x:c>
      <x:c r="B10" s="24" t="str">
        <x:v>已知金额轮次中位数</x:v>
      </x:c>
      <x:c r="C10" s="24" t="str">
        <x:v>单轮融资规模</x:v>
      </x:c>
      <x:c r="D10" s="24" t="str">
        <x:v>CROSS_SECTIONAL_DESCRIPTIVE</x:v>
      </x:c>
      <x:c r="E10" s="24" t="n">
        <x:v>9</x:v>
      </x:c>
      <x:c r="F10" s="24" t="str">
        <x:v>探索候选</x:v>
      </x:c>
      <x:c r="G10" s="24" t="n">
        <x:v>7</x:v>
      </x:c>
      <x:c r="H10" s="24" t="str">
        <x:v>辅助应用</x:v>
      </x:c>
      <x:c r="I10" s="24" t="str">
        <x:v>DUAL_SUPPORT</x:v>
      </x:c>
      <x:c r="J10" s="24" t="str">
        <x:v>替代或补充解释</x:v>
      </x:c>
      <x:c r="K10" s="24" t="str">
        <x:v>B01 融资强度与规模</x:v>
      </x:c>
      <x:c r="L10" s="24" t="str">
        <x:v>替代/敏感性变量</x:v>
      </x:c>
      <x:c r="M10" s="24" t="str">
        <x:v>CV027、CV028；必要时CV030</x:v>
      </x:c>
      <x:c r="N10" s="24" t="str">
        <x:v>金额均基于可核验下限或已知金额轮次；不得解释为真实累计融资。</x:v>
      </x:c>
      <x:c r="O10" s="24" t="str">
        <x:v>Stage5B导入</x:v>
      </x:c>
      <x:c r="P10" s="24" t="str">
        <x:v>Stage5C导入</x:v>
      </x:c>
      <x:c r="Q10" s="24" t="str">
        <x:v>研究判断</x:v>
      </x:c>
    </x:row>
    <x:row r="11" ht="54" customHeight="1">
      <x:c r="A11" s="24" t="str">
        <x:v>CV007</x:v>
      </x:c>
      <x:c r="B11" s="24" t="str">
        <x:v>最大已知单轮融资金额</x:v>
      </x:c>
      <x:c r="C11" s="24" t="str">
        <x:v>融资峰值</x:v>
      </x:c>
      <x:c r="D11" s="24" t="str">
        <x:v>CROSS_SECTIONAL_DESCRIPTIVE</x:v>
      </x:c>
      <x:c r="E11" s="24" t="n">
        <x:v>11</x:v>
      </x:c>
      <x:c r="F11" s="24" t="str">
        <x:v>优先候选</x:v>
      </x:c>
      <x:c r="G11" s="24" t="n">
        <x:v>9</x:v>
      </x:c>
      <x:c r="H11" s="24" t="str">
        <x:v>辅助应用</x:v>
      </x:c>
      <x:c r="I11" s="24" t="str">
        <x:v>RESEARCH_CORE</x:v>
      </x:c>
      <x:c r="J11" s="24" t="str">
        <x:v>研究问题核心；商业辅助</x:v>
      </x:c>
      <x:c r="K11" s="24" t="str">
        <x:v>B01 融资强度与规模</x:v>
      </x:c>
      <x:c r="L11" s="24" t="str">
        <x:v>保留为主变量或独立维度</x:v>
      </x:c>
      <x:c r="M11" s="24" t="str">
        <x:v>CV027、CV028；必要时CV030</x:v>
      </x:c>
      <x:c r="N11" s="24" t="str">
        <x:v>金额均基于可核验下限或已知金额轮次；不得解释为真实累计融资。</x:v>
      </x:c>
      <x:c r="O11" s="24" t="str">
        <x:v>Stage5B导入</x:v>
      </x:c>
      <x:c r="P11" s="24" t="str">
        <x:v>Stage5C导入</x:v>
      </x:c>
      <x:c r="Q11" s="24" t="str">
        <x:v>研究判断</x:v>
      </x:c>
    </x:row>
    <x:row r="12" ht="54" customHeight="1">
      <x:c r="A12" s="24" t="str">
        <x:v>CV008</x:v>
      </x:c>
      <x:c r="B12" s="24" t="str">
        <x:v>最大已知轮金额占比</x:v>
      </x:c>
      <x:c r="C12" s="24" t="str">
        <x:v>融资集中度</x:v>
      </x:c>
      <x:c r="D12" s="24" t="str">
        <x:v>CROSS_SECTIONAL_DESCRIPTIVE</x:v>
      </x:c>
      <x:c r="E12" s="24" t="n">
        <x:v>11</x:v>
      </x:c>
      <x:c r="F12" s="24" t="str">
        <x:v>优先候选</x:v>
      </x:c>
      <x:c r="G12" s="24" t="n">
        <x:v>8</x:v>
      </x:c>
      <x:c r="H12" s="24" t="str">
        <x:v>辅助应用</x:v>
      </x:c>
      <x:c r="I12" s="24" t="str">
        <x:v>RESEARCH_CORE</x:v>
      </x:c>
      <x:c r="J12" s="24" t="str">
        <x:v>研究问题核心；商业辅助</x:v>
      </x:c>
      <x:c r="K12" s="24" t="str">
        <x:v>B01 融资强度与规模</x:v>
      </x:c>
      <x:c r="L12" s="24" t="str">
        <x:v>保留为主变量或独立维度</x:v>
      </x:c>
      <x:c r="M12" s="24" t="str">
        <x:v>CV027、CV028；必要时CV030</x:v>
      </x:c>
      <x:c r="N12" s="24" t="str">
        <x:v>金额均基于可核验下限或已知金额轮次；不得解释为真实累计融资。</x:v>
      </x:c>
      <x:c r="O12" s="24" t="str">
        <x:v>Stage5B导入</x:v>
      </x:c>
      <x:c r="P12" s="24" t="str">
        <x:v>Stage5C导入</x:v>
      </x:c>
      <x:c r="Q12" s="24" t="str">
        <x:v>研究判断</x:v>
      </x:c>
    </x:row>
    <x:row r="13" ht="54" customHeight="1">
      <x:c r="A13" s="24" t="str">
        <x:v>CV009</x:v>
      </x:c>
      <x:c r="B13" s="24" t="str">
        <x:v>融资时间跨度</x:v>
      </x:c>
      <x:c r="C13" s="24" t="str">
        <x:v>融资节奏</x:v>
      </x:c>
      <x:c r="D13" s="24" t="str">
        <x:v>CONDITIONAL_DESCRIPTIVE</x:v>
      </x:c>
      <x:c r="E13" s="24" t="n">
        <x:v>11</x:v>
      </x:c>
      <x:c r="F13" s="24" t="str">
        <x:v>条件描述候选</x:v>
      </x:c>
      <x:c r="G13" s="24" t="n">
        <x:v>10</x:v>
      </x:c>
      <x:c r="H13" s="24" t="str">
        <x:v>条件应用</x:v>
      </x:c>
      <x:c r="I13" s="24" t="str">
        <x:v>CONDITIONAL</x:v>
      </x:c>
      <x:c r="J13" s="24" t="str">
        <x:v>条件样本描述</x:v>
      </x:c>
      <x:c r="K13" s="24" t="str">
        <x:v>B02 融资节奏</x:v>
      </x:c>
      <x:c r="L13" s="24" t="str">
        <x:v>保留为主变量或独立维度</x:v>
      </x:c>
      <x:c r="M13" s="24" t="str">
        <x:v>CV029与条件适用N</x:v>
      </x:c>
      <x:c r="N13" s="24" t="str">
        <x:v>仅在日期条件满足的公司中描述；必须报告条件分母。</x:v>
      </x:c>
      <x:c r="O13" s="24" t="str">
        <x:v>Stage5B导入</x:v>
      </x:c>
      <x:c r="P13" s="24" t="str">
        <x:v>Stage5C导入</x:v>
      </x:c>
      <x:c r="Q13" s="24" t="str">
        <x:v>研究判断</x:v>
      </x:c>
    </x:row>
    <x:row r="14" ht="54" customHeight="1">
      <x:c r="A14" s="24" t="str">
        <x:v>CV010</x:v>
      </x:c>
      <x:c r="B14" s="24" t="str">
        <x:v>融资轮次间隔中位数</x:v>
      </x:c>
      <x:c r="C14" s="24" t="str">
        <x:v>融资节奏</x:v>
      </x:c>
      <x:c r="D14" s="24" t="str">
        <x:v>CONDITIONAL_DESCRIPTIVE</x:v>
      </x:c>
      <x:c r="E14" s="24" t="n">
        <x:v>11</x:v>
      </x:c>
      <x:c r="F14" s="24" t="str">
        <x:v>条件描述候选</x:v>
      </x:c>
      <x:c r="G14" s="24" t="n">
        <x:v>9</x:v>
      </x:c>
      <x:c r="H14" s="24" t="str">
        <x:v>条件应用</x:v>
      </x:c>
      <x:c r="I14" s="24" t="str">
        <x:v>CONDITIONAL</x:v>
      </x:c>
      <x:c r="J14" s="24" t="str">
        <x:v>条件样本描述</x:v>
      </x:c>
      <x:c r="K14" s="24" t="str">
        <x:v>B02 融资节奏</x:v>
      </x:c>
      <x:c r="L14" s="24" t="str">
        <x:v>保留为主变量或独立维度</x:v>
      </x:c>
      <x:c r="M14" s="24" t="str">
        <x:v>CV029与条件适用N</x:v>
      </x:c>
      <x:c r="N14" s="24" t="str">
        <x:v>仅在日期条件满足的公司中描述；必须报告条件分母。</x:v>
      </x:c>
      <x:c r="O14" s="24" t="str">
        <x:v>Stage5B导入</x:v>
      </x:c>
      <x:c r="P14" s="24" t="str">
        <x:v>Stage5C导入</x:v>
      </x:c>
      <x:c r="Q14" s="24" t="str">
        <x:v>研究判断</x:v>
      </x:c>
    </x:row>
    <x:row r="15" ht="54" customHeight="1">
      <x:c r="A15" s="24" t="str">
        <x:v>CV011</x:v>
      </x:c>
      <x:c r="B15" s="24" t="str">
        <x:v>确认PE/VC参与标记</x:v>
      </x:c>
      <x:c r="C15" s="24" t="str">
        <x:v>PEVC参与</x:v>
      </x:c>
      <x:c r="D15" s="24" t="str">
        <x:v>CROSS_SECTIONAL_DESCRIPTIVE</x:v>
      </x:c>
      <x:c r="E15" s="24" t="n">
        <x:v>12</x:v>
      </x:c>
      <x:c r="F15" s="24" t="str">
        <x:v>优先候选</x:v>
      </x:c>
      <x:c r="G15" s="24" t="n">
        <x:v>11</x:v>
      </x:c>
      <x:c r="H15" s="24" t="str">
        <x:v>核心应用</x:v>
      </x:c>
      <x:c r="I15" s="24" t="str">
        <x:v>DUAL_CORE</x:v>
      </x:c>
      <x:c r="J15" s="24" t="str">
        <x:v>后续选择主轴核心</x:v>
      </x:c>
      <x:c r="K15" s="24" t="str">
        <x:v>B03 PE/VC参与与深度</x:v>
      </x:c>
      <x:c r="L15" s="24" t="str">
        <x:v>保留为主变量或独立维度</x:v>
      </x:c>
      <x:c r="M15" s="24" t="str">
        <x:v>有效N、法律主体口径、warning_code</x:v>
      </x:c>
      <x:c r="N15" s="24" t="str">
        <x:v>仅用于八家公司描述和案例选择，不做因果、显著性或优劣判断。</x:v>
      </x:c>
      <x:c r="O15" s="24" t="str">
        <x:v>Stage5B导入</x:v>
      </x:c>
      <x:c r="P15" s="24" t="str">
        <x:v>Stage5C导入</x:v>
      </x:c>
      <x:c r="Q15" s="24" t="str">
        <x:v>研究判断</x:v>
      </x:c>
    </x:row>
    <x:row r="16" ht="54" customHeight="1">
      <x:c r="A16" s="24" t="str">
        <x:v>CV012</x:v>
      </x:c>
      <x:c r="B16" s="24" t="str">
        <x:v>确认PE/VC法律主体数</x:v>
      </x:c>
      <x:c r="C16" s="24" t="str">
        <x:v>PEVC参与</x:v>
      </x:c>
      <x:c r="D16" s="24" t="str">
        <x:v>CROSS_SECTIONAL_DESCRIPTIVE</x:v>
      </x:c>
      <x:c r="E16" s="24" t="n">
        <x:v>11</x:v>
      </x:c>
      <x:c r="F16" s="24" t="str">
        <x:v>优先候选</x:v>
      </x:c>
      <x:c r="G16" s="24" t="n">
        <x:v>11</x:v>
      </x:c>
      <x:c r="H16" s="24" t="str">
        <x:v>核心应用</x:v>
      </x:c>
      <x:c r="I16" s="24" t="str">
        <x:v>DUAL_CORE</x:v>
      </x:c>
      <x:c r="J16" s="24" t="str">
        <x:v>后续选择主轴核心</x:v>
      </x:c>
      <x:c r="K16" s="24" t="str">
        <x:v>B03 PE/VC参与与深度</x:v>
      </x:c>
      <x:c r="L16" s="24" t="str">
        <x:v>保留为主变量或独立维度</x:v>
      </x:c>
      <x:c r="M16" s="24" t="str">
        <x:v>有效N、法律主体口径、warning_code</x:v>
      </x:c>
      <x:c r="N16" s="24" t="str">
        <x:v>仅用于八家公司描述和案例选择，不做因果、显著性或优劣判断。</x:v>
      </x:c>
      <x:c r="O16" s="24" t="str">
        <x:v>Stage5B导入</x:v>
      </x:c>
      <x:c r="P16" s="24" t="str">
        <x:v>Stage5C导入</x:v>
      </x:c>
      <x:c r="Q16" s="24" t="str">
        <x:v>研究判断</x:v>
      </x:c>
    </x:row>
    <x:row r="17" ht="54" customHeight="1">
      <x:c r="A17" s="24" t="str">
        <x:v>CV013</x:v>
      </x:c>
      <x:c r="B17" s="24" t="str">
        <x:v>确认PE/VC占直接主体比重</x:v>
      </x:c>
      <x:c r="C17" s="24" t="str">
        <x:v>PEVC参与</x:v>
      </x:c>
      <x:c r="D17" s="24" t="str">
        <x:v>CROSS_SECTIONAL_DESCRIPTIVE</x:v>
      </x:c>
      <x:c r="E17" s="24" t="n">
        <x:v>12</x:v>
      </x:c>
      <x:c r="F17" s="24" t="str">
        <x:v>优先候选</x:v>
      </x:c>
      <x:c r="G17" s="24" t="n">
        <x:v>10</x:v>
      </x:c>
      <x:c r="H17" s="24" t="str">
        <x:v>核心应用</x:v>
      </x:c>
      <x:c r="I17" s="24" t="str">
        <x:v>DUAL_CORE</x:v>
      </x:c>
      <x:c r="J17" s="24" t="str">
        <x:v>后续选择主轴核心</x:v>
      </x:c>
      <x:c r="K17" s="24" t="str">
        <x:v>B03 PE/VC参与与深度</x:v>
      </x:c>
      <x:c r="L17" s="24" t="str">
        <x:v>保留为主变量或独立维度</x:v>
      </x:c>
      <x:c r="M17" s="24" t="str">
        <x:v>有效N、法律主体口径、warning_code</x:v>
      </x:c>
      <x:c r="N17" s="24" t="str">
        <x:v>仅用于八家公司描述和案例选择，不做因果、显著性或优劣判断。</x:v>
      </x:c>
      <x:c r="O17" s="24" t="str">
        <x:v>Stage5B导入</x:v>
      </x:c>
      <x:c r="P17" s="24" t="str">
        <x:v>Stage5C导入</x:v>
      </x:c>
      <x:c r="Q17" s="24" t="str">
        <x:v>研究判断</x:v>
      </x:c>
    </x:row>
    <x:row r="18" ht="54" customHeight="1">
      <x:c r="A18" s="24" t="str">
        <x:v>CV014</x:v>
      </x:c>
      <x:c r="B18" s="24" t="str">
        <x:v>确认PE/VC参与融资轮数</x:v>
      </x:c>
      <x:c r="C18" s="24" t="str">
        <x:v>PEVC参与深度</x:v>
      </x:c>
      <x:c r="D18" s="24" t="str">
        <x:v>CROSS_SECTIONAL_DESCRIPTIVE</x:v>
      </x:c>
      <x:c r="E18" s="24" t="n">
        <x:v>10</x:v>
      </x:c>
      <x:c r="F18" s="24" t="str">
        <x:v>优先候选</x:v>
      </x:c>
      <x:c r="G18" s="24" t="n">
        <x:v>10</x:v>
      </x:c>
      <x:c r="H18" s="24" t="str">
        <x:v>核心应用</x:v>
      </x:c>
      <x:c r="I18" s="24" t="str">
        <x:v>DUAL_CORE</x:v>
      </x:c>
      <x:c r="J18" s="24" t="str">
        <x:v>后续选择主轴核心</x:v>
      </x:c>
      <x:c r="K18" s="24" t="str">
        <x:v>B03 PE/VC参与与深度</x:v>
      </x:c>
      <x:c r="L18" s="24" t="str">
        <x:v>保留为主变量或独立维度</x:v>
      </x:c>
      <x:c r="M18" s="24" t="str">
        <x:v>有效N、法律主体口径、warning_code</x:v>
      </x:c>
      <x:c r="N18" s="24" t="str">
        <x:v>仅用于八家公司描述和案例选择，不做因果、显著性或优劣判断。</x:v>
      </x:c>
      <x:c r="O18" s="24" t="str">
        <x:v>Stage5B导入</x:v>
      </x:c>
      <x:c r="P18" s="24" t="str">
        <x:v>Stage5C导入</x:v>
      </x:c>
      <x:c r="Q18" s="24" t="str">
        <x:v>研究判断</x:v>
      </x:c>
    </x:row>
    <x:row r="19" ht="54" customHeight="1">
      <x:c r="A19" s="24" t="str">
        <x:v>CV015</x:v>
      </x:c>
      <x:c r="B19" s="24" t="str">
        <x:v>首次确认PE/VC进入日期</x:v>
      </x:c>
      <x:c r="C19" s="24" t="str">
        <x:v>PEVC进入时点</x:v>
      </x:c>
      <x:c r="D19" s="24" t="str">
        <x:v>CASE_ONLY</x:v>
      </x:c>
      <x:c r="E19" s="24" t="n">
        <x:v>9</x:v>
      </x:c>
      <x:c r="F19" s="24" t="str">
        <x:v>案例命题</x:v>
      </x:c>
      <x:c r="G19" s="24" t="n">
        <x:v>7</x:v>
      </x:c>
      <x:c r="H19" s="24" t="str">
        <x:v>案例应用</x:v>
      </x:c>
      <x:c r="I19" s="24" t="str">
        <x:v>CASE</x:v>
      </x:c>
      <x:c r="J19" s="24" t="str">
        <x:v>案例路径变量</x:v>
      </x:c>
      <x:c r="K19" s="24" t="str">
        <x:v>B04 PE/VC进入与路径</x:v>
      </x:c>
      <x:c r="L19" s="24" t="str">
        <x:v>保留为主变量或独立维度</x:v>
      </x:c>
      <x:c r="M19" s="24" t="str">
        <x:v>CV011、CV012、路径证据与适用N</x:v>
      </x:c>
      <x:c r="N19" s="24" t="str">
        <x:v>有效N较小，仅支持案例/路径叙事，不做总体推断。</x:v>
      </x:c>
      <x:c r="O19" s="24" t="str">
        <x:v>Stage5B导入</x:v>
      </x:c>
      <x:c r="P19" s="24" t="str">
        <x:v>Stage5C导入</x:v>
      </x:c>
      <x:c r="Q19" s="24" t="str">
        <x:v>研究判断</x:v>
      </x:c>
    </x:row>
    <x:row r="20" ht="54" customHeight="1">
      <x:c r="A20" s="24" t="str">
        <x:v>CV016</x:v>
      </x:c>
      <x:c r="B20" s="24" t="str">
        <x:v>首次确认PE/VC进入年份</x:v>
      </x:c>
      <x:c r="C20" s="24" t="str">
        <x:v>PEVC进入时点</x:v>
      </x:c>
      <x:c r="D20" s="24" t="str">
        <x:v>CASE_ONLY</x:v>
      </x:c>
      <x:c r="E20" s="24" t="n">
        <x:v>7</x:v>
      </x:c>
      <x:c r="F20" s="24" t="str">
        <x:v>案例命题</x:v>
      </x:c>
      <x:c r="G20" s="24" t="n">
        <x:v>7</x:v>
      </x:c>
      <x:c r="H20" s="24" t="str">
        <x:v>案例应用</x:v>
      </x:c>
      <x:c r="I20" s="24" t="str">
        <x:v>CASE</x:v>
      </x:c>
      <x:c r="J20" s="24" t="str">
        <x:v>案例路径变量</x:v>
      </x:c>
      <x:c r="K20" s="24" t="str">
        <x:v>B04 PE/VC进入与路径</x:v>
      </x:c>
      <x:c r="L20" s="24" t="str">
        <x:v>替代/敏感性变量</x:v>
      </x:c>
      <x:c r="M20" s="24" t="str">
        <x:v>CV011、CV012、路径证据与适用N</x:v>
      </x:c>
      <x:c r="N20" s="24" t="str">
        <x:v>有效N较小，仅支持案例/路径叙事，不做总体推断。</x:v>
      </x:c>
      <x:c r="O20" s="24" t="str">
        <x:v>Stage5B导入</x:v>
      </x:c>
      <x:c r="P20" s="24" t="str">
        <x:v>Stage5C导入</x:v>
      </x:c>
      <x:c r="Q20" s="24" t="str">
        <x:v>研究判断</x:v>
      </x:c>
    </x:row>
    <x:row r="21" ht="54" customHeight="1">
      <x:c r="A21" s="24" t="str">
        <x:v>CV017</x:v>
      </x:c>
      <x:c r="B21" s="24" t="str">
        <x:v>首次确认PE/VC融资轮位置</x:v>
      </x:c>
      <x:c r="C21" s="24" t="str">
        <x:v>PEVC进入时点</x:v>
      </x:c>
      <x:c r="D21" s="24" t="str">
        <x:v>CASE_ONLY</x:v>
      </x:c>
      <x:c r="E21" s="24" t="n">
        <x:v>9</x:v>
      </x:c>
      <x:c r="F21" s="24" t="str">
        <x:v>案例命题</x:v>
      </x:c>
      <x:c r="G21" s="24" t="n">
        <x:v>6</x:v>
      </x:c>
      <x:c r="H21" s="24" t="str">
        <x:v>案例应用</x:v>
      </x:c>
      <x:c r="I21" s="24" t="str">
        <x:v>CASE</x:v>
      </x:c>
      <x:c r="J21" s="24" t="str">
        <x:v>案例路径变量</x:v>
      </x:c>
      <x:c r="K21" s="24" t="str">
        <x:v>B04 PE/VC进入与路径</x:v>
      </x:c>
      <x:c r="L21" s="24" t="str">
        <x:v>保留为主变量或独立维度</x:v>
      </x:c>
      <x:c r="M21" s="24" t="str">
        <x:v>CV011、CV012、路径证据与适用N</x:v>
      </x:c>
      <x:c r="N21" s="24" t="str">
        <x:v>有效N较小，仅支持案例/路径叙事，不做总体推断。</x:v>
      </x:c>
      <x:c r="O21" s="24" t="str">
        <x:v>Stage5B导入</x:v>
      </x:c>
      <x:c r="P21" s="24" t="str">
        <x:v>Stage5C导入</x:v>
      </x:c>
      <x:c r="Q21" s="24" t="str">
        <x:v>研究判断</x:v>
      </x:c>
    </x:row>
    <x:row r="22" ht="54" customHeight="1">
      <x:c r="A22" s="24" t="str">
        <x:v>CV018</x:v>
      </x:c>
      <x:c r="B22" s="24" t="str">
        <x:v>确认PE/VC间接路径标记</x:v>
      </x:c>
      <x:c r="C22" s="24" t="str">
        <x:v>投资路径复杂度</x:v>
      </x:c>
      <x:c r="D22" s="24" t="str">
        <x:v>CROSS_SECTIONAL_DESCRIPTIVE</x:v>
      </x:c>
      <x:c r="E22" s="24" t="n">
        <x:v>9</x:v>
      </x:c>
      <x:c r="F22" s="24" t="str">
        <x:v>探索候选</x:v>
      </x:c>
      <x:c r="G22" s="24" t="n">
        <x:v>8</x:v>
      </x:c>
      <x:c r="H22" s="24" t="str">
        <x:v>辅助应用</x:v>
      </x:c>
      <x:c r="I22" s="24" t="str">
        <x:v>DUAL_SUPPORT</x:v>
      </x:c>
      <x:c r="J22" s="24" t="str">
        <x:v>替代或补充解释</x:v>
      </x:c>
      <x:c r="K22" s="24" t="str">
        <x:v>B04 PE/VC进入与路径</x:v>
      </x:c>
      <x:c r="L22" s="24" t="str">
        <x:v>保留为主变量或独立维度</x:v>
      </x:c>
      <x:c r="M22" s="24" t="str">
        <x:v>CV011、CV012、路径证据与适用N</x:v>
      </x:c>
      <x:c r="N22" s="24" t="str">
        <x:v>仅用于八家公司描述和案例选择，不做因果、显著性或优劣判断。</x:v>
      </x:c>
      <x:c r="O22" s="24" t="str">
        <x:v>Stage5B导入</x:v>
      </x:c>
      <x:c r="P22" s="24" t="str">
        <x:v>Stage5C导入</x:v>
      </x:c>
      <x:c r="Q22" s="24" t="str">
        <x:v>研究判断</x:v>
      </x:c>
    </x:row>
    <x:row r="23" ht="54" customHeight="1">
      <x:c r="A23" s="24" t="str">
        <x:v>CV019</x:v>
      </x:c>
      <x:c r="B23" s="24" t="str">
        <x:v>确认PE/VC进入方式多样性</x:v>
      </x:c>
      <x:c r="C23" s="24" t="str">
        <x:v>PEVC进入方式</x:v>
      </x:c>
      <x:c r="D23" s="24" t="str">
        <x:v>CROSS_SECTIONAL_DESCRIPTIVE</x:v>
      </x:c>
      <x:c r="E23" s="24" t="n">
        <x:v>9</x:v>
      </x:c>
      <x:c r="F23" s="24" t="str">
        <x:v>探索候选</x:v>
      </x:c>
      <x:c r="G23" s="24" t="n">
        <x:v>8</x:v>
      </x:c>
      <x:c r="H23" s="24" t="str">
        <x:v>辅助应用</x:v>
      </x:c>
      <x:c r="I23" s="24" t="str">
        <x:v>DUAL_SUPPORT</x:v>
      </x:c>
      <x:c r="J23" s="24" t="str">
        <x:v>替代或补充解释</x:v>
      </x:c>
      <x:c r="K23" s="24" t="str">
        <x:v>B04 PE/VC进入与路径</x:v>
      </x:c>
      <x:c r="L23" s="24" t="str">
        <x:v>保留为主变量或独立维度</x:v>
      </x:c>
      <x:c r="M23" s="24" t="str">
        <x:v>CV011、CV012、路径证据与适用N</x:v>
      </x:c>
      <x:c r="N23" s="24" t="str">
        <x:v>仅用于八家公司描述和案例选择，不做因果、显著性或优劣判断。</x:v>
      </x:c>
      <x:c r="O23" s="24" t="str">
        <x:v>Stage5B导入</x:v>
      </x:c>
      <x:c r="P23" s="24" t="str">
        <x:v>Stage5C导入</x:v>
      </x:c>
      <x:c r="Q23" s="24" t="str">
        <x:v>研究判断</x:v>
      </x:c>
    </x:row>
    <x:row r="24" ht="54" customHeight="1">
      <x:c r="A24" s="24" t="str">
        <x:v>CV020</x:v>
      </x:c>
      <x:c r="B24" s="24" t="str">
        <x:v>直接参与法律主体数</x:v>
      </x:c>
      <x:c r="C24" s="24" t="str">
        <x:v>参与结构规模</x:v>
      </x:c>
      <x:c r="D24" s="24" t="str">
        <x:v>CROSS_SECTIONAL_DESCRIPTIVE</x:v>
      </x:c>
      <x:c r="E24" s="24" t="n">
        <x:v>12</x:v>
      </x:c>
      <x:c r="F24" s="24" t="str">
        <x:v>优先候选</x:v>
      </x:c>
      <x:c r="G24" s="24" t="n">
        <x:v>11</x:v>
      </x:c>
      <x:c r="H24" s="24" t="str">
        <x:v>核心应用</x:v>
      </x:c>
      <x:c r="I24" s="24" t="str">
        <x:v>DUAL_CORE</x:v>
      </x:c>
      <x:c r="J24" s="24" t="str">
        <x:v>后续选择主轴核心</x:v>
      </x:c>
      <x:c r="K24" s="24" t="str">
        <x:v>B05 参与主体结构</x:v>
      </x:c>
      <x:c r="L24" s="24" t="str">
        <x:v>保留为主变量或独立维度</x:v>
      </x:c>
      <x:c r="M24" s="24" t="str">
        <x:v>CV002、角色映射/简称桥接警告</x:v>
      </x:c>
      <x:c r="N24" s="24" t="str">
        <x:v>仅用于八家公司描述和案例选择，不做因果、显著性或优劣判断。</x:v>
      </x:c>
      <x:c r="O24" s="24" t="str">
        <x:v>Stage5B导入</x:v>
      </x:c>
      <x:c r="P24" s="24" t="str">
        <x:v>Stage5C导入</x:v>
      </x:c>
      <x:c r="Q24" s="24" t="str">
        <x:v>研究判断</x:v>
      </x:c>
    </x:row>
    <x:row r="25" ht="54" customHeight="1">
      <x:c r="A25" s="24" t="str">
        <x:v>CV021</x:v>
      </x:c>
      <x:c r="B25" s="24" t="str">
        <x:v>融资投资方法律主体数</x:v>
      </x:c>
      <x:c r="C25" s="24" t="str">
        <x:v>融资参与广度</x:v>
      </x:c>
      <x:c r="D25" s="24" t="str">
        <x:v>CROSS_SECTIONAL_DESCRIPTIVE</x:v>
      </x:c>
      <x:c r="E25" s="24" t="n">
        <x:v>11</x:v>
      </x:c>
      <x:c r="F25" s="24" t="str">
        <x:v>优先候选</x:v>
      </x:c>
      <x:c r="G25" s="24" t="n">
        <x:v>9</x:v>
      </x:c>
      <x:c r="H25" s="24" t="str">
        <x:v>辅助应用</x:v>
      </x:c>
      <x:c r="I25" s="24" t="str">
        <x:v>RESEARCH_CORE</x:v>
      </x:c>
      <x:c r="J25" s="24" t="str">
        <x:v>研究问题核心；商业辅助</x:v>
      </x:c>
      <x:c r="K25" s="24" t="str">
        <x:v>B05 参与主体结构</x:v>
      </x:c>
      <x:c r="L25" s="24" t="str">
        <x:v>保留为主变量或独立维度</x:v>
      </x:c>
      <x:c r="M25" s="24" t="str">
        <x:v>CV002、角色映射/简称桥接警告</x:v>
      </x:c>
      <x:c r="N25" s="24" t="str">
        <x:v>仅用于八家公司描述和案例选择，不做因果、显著性或优劣判断。</x:v>
      </x:c>
      <x:c r="O25" s="24" t="str">
        <x:v>Stage5B导入</x:v>
      </x:c>
      <x:c r="P25" s="24" t="str">
        <x:v>Stage5C导入</x:v>
      </x:c>
      <x:c r="Q25" s="24" t="str">
        <x:v>研究判断</x:v>
      </x:c>
    </x:row>
    <x:row r="26" ht="54" customHeight="1">
      <x:c r="A26" s="24" t="str">
        <x:v>CV022</x:v>
      </x:c>
      <x:c r="B26" s="24" t="str">
        <x:v>每轮融资投资方密度</x:v>
      </x:c>
      <x:c r="C26" s="24" t="str">
        <x:v>融资参与密度</x:v>
      </x:c>
      <x:c r="D26" s="24" t="str">
        <x:v>CROSS_SECTIONAL_DESCRIPTIVE</x:v>
      </x:c>
      <x:c r="E26" s="24" t="n">
        <x:v>11</x:v>
      </x:c>
      <x:c r="F26" s="24" t="str">
        <x:v>优先候选</x:v>
      </x:c>
      <x:c r="G26" s="24" t="n">
        <x:v>8</x:v>
      </x:c>
      <x:c r="H26" s="24" t="str">
        <x:v>辅助应用</x:v>
      </x:c>
      <x:c r="I26" s="24" t="str">
        <x:v>RESEARCH_CORE</x:v>
      </x:c>
      <x:c r="J26" s="24" t="str">
        <x:v>研究问题核心；商业辅助</x:v>
      </x:c>
      <x:c r="K26" s="24" t="str">
        <x:v>B05 参与主体结构</x:v>
      </x:c>
      <x:c r="L26" s="24" t="str">
        <x:v>保留为主变量或独立维度</x:v>
      </x:c>
      <x:c r="M26" s="24" t="str">
        <x:v>CV002、角色映射/简称桥接警告</x:v>
      </x:c>
      <x:c r="N26" s="24" t="str">
        <x:v>仅用于八家公司描述和案例选择，不做因果、显著性或优劣判断。</x:v>
      </x:c>
      <x:c r="O26" s="24" t="str">
        <x:v>Stage5B导入</x:v>
      </x:c>
      <x:c r="P26" s="24" t="str">
        <x:v>Stage5C导入</x:v>
      </x:c>
      <x:c r="Q26" s="24" t="str">
        <x:v>研究判断</x:v>
      </x:c>
    </x:row>
    <x:row r="27" ht="54" customHeight="1">
      <x:c r="A27" s="24" t="str">
        <x:v>CV023</x:v>
      </x:c>
      <x:c r="B27" s="24" t="str">
        <x:v>融资方式多样性</x:v>
      </x:c>
      <x:c r="C27" s="24" t="str">
        <x:v>融资机制</x:v>
      </x:c>
      <x:c r="D27" s="24" t="str">
        <x:v>DEFER_REDUNDANT</x:v>
      </x:c>
      <x:c r="E27" s="24"/>
      <x:c r="F27" s="24" t="str">
        <x:v>暂缓</x:v>
      </x:c>
      <x:c r="G27" s="24"/>
      <x:c r="H27" s="24" t="str">
        <x:v>暂缓</x:v>
      </x:c>
      <x:c r="I27" s="24" t="str">
        <x:v>DEFER</x:v>
      </x:c>
      <x:c r="J27" s="24" t="str">
        <x:v>保留定义；暂缓使用</x:v>
      </x:c>
      <x:c r="K27" s="24" t="str">
        <x:v>B01 融资强度与规模</x:v>
      </x:c>
      <x:c r="L27" s="24" t="str">
        <x:v>暂缓：当前样本完全冗余</x:v>
      </x:c>
      <x:c r="M27" s="24" t="str">
        <x:v>有效N、结构NA、缺失N与warning_code</x:v>
      </x:c>
      <x:c r="N27" s="24" t="str">
        <x:v>当前样本与CV001重合；扩样前不宣称增量信息。</x:v>
      </x:c>
      <x:c r="O27" s="24" t="str">
        <x:v>Stage5B导入</x:v>
      </x:c>
      <x:c r="P27" s="24" t="str">
        <x:v>Stage5C导入</x:v>
      </x:c>
      <x:c r="Q27" s="24" t="str">
        <x:v>研究判断</x:v>
      </x:c>
    </x:row>
    <x:row r="28" ht="54" customHeight="1">
      <x:c r="A28" s="24" t="str">
        <x:v>CV024</x:v>
      </x:c>
      <x:c r="B28" s="24" t="str">
        <x:v>股权转让交易数</x:v>
      </x:c>
      <x:c r="C28" s="24" t="str">
        <x:v>二级股权流动</x:v>
      </x:c>
      <x:c r="D28" s="24" t="str">
        <x:v>CROSS_SECTIONAL_DESCRIPTIVE</x:v>
      </x:c>
      <x:c r="E28" s="24" t="n">
        <x:v>12</x:v>
      </x:c>
      <x:c r="F28" s="24" t="str">
        <x:v>优先候选</x:v>
      </x:c>
      <x:c r="G28" s="24" t="n">
        <x:v>11</x:v>
      </x:c>
      <x:c r="H28" s="24" t="str">
        <x:v>核心应用</x:v>
      </x:c>
      <x:c r="I28" s="24" t="str">
        <x:v>DUAL_CORE</x:v>
      </x:c>
      <x:c r="J28" s="24" t="str">
        <x:v>后续选择主轴核心</x:v>
      </x:c>
      <x:c r="K28" s="24" t="str">
        <x:v>B06 一级/二级交易</x:v>
      </x:c>
      <x:c r="L28" s="24" t="str">
        <x:v>保留为主变量或独立维度</x:v>
      </x:c>
      <x:c r="M28" s="24" t="str">
        <x:v>一级/二级交易分离说明</x:v>
      </x:c>
      <x:c r="N28" s="24" t="str">
        <x:v>仅用于八家公司描述和案例选择，不做因果、显著性或优劣判断。</x:v>
      </x:c>
      <x:c r="O28" s="24" t="str">
        <x:v>Stage5B导入</x:v>
      </x:c>
      <x:c r="P28" s="24" t="str">
        <x:v>Stage5C导入</x:v>
      </x:c>
      <x:c r="Q28" s="24" t="str">
        <x:v>研究判断</x:v>
      </x:c>
    </x:row>
    <x:row r="29" ht="54" customHeight="1">
      <x:c r="A29" s="24" t="str">
        <x:v>CV025</x:v>
      </x:c>
      <x:c r="B29" s="24" t="str">
        <x:v>可核验股权转让对价下限</x:v>
      </x:c>
      <x:c r="C29" s="24" t="str">
        <x:v>二级股权流动</x:v>
      </x:c>
      <x:c r="D29" s="24" t="str">
        <x:v>CONDITIONAL_DESCRIPTIVE</x:v>
      </x:c>
      <x:c r="E29" s="24" t="n">
        <x:v>10</x:v>
      </x:c>
      <x:c r="F29" s="24" t="str">
        <x:v>条件描述候选</x:v>
      </x:c>
      <x:c r="G29" s="24" t="n">
        <x:v>8</x:v>
      </x:c>
      <x:c r="H29" s="24" t="str">
        <x:v>条件应用</x:v>
      </x:c>
      <x:c r="I29" s="24" t="str">
        <x:v>CONDITIONAL</x:v>
      </x:c>
      <x:c r="J29" s="24" t="str">
        <x:v>条件样本描述</x:v>
      </x:c>
      <x:c r="K29" s="24" t="str">
        <x:v>B06 一级/二级交易</x:v>
      </x:c>
      <x:c r="L29" s="24" t="str">
        <x:v>保留为主变量或独立维度</x:v>
      </x:c>
      <x:c r="M29" s="24" t="str">
        <x:v>转让金额状态与适用N</x:v>
      </x:c>
      <x:c r="N29" s="24" t="str">
        <x:v>股权转让对价仅为可核验下限，且只在适用公司中描述；不得解释为真实累计转让额。</x:v>
      </x:c>
      <x:c r="O29" s="24" t="str">
        <x:v>Stage5B导入</x:v>
      </x:c>
      <x:c r="P29" s="24" t="str">
        <x:v>Stage5C导入</x:v>
      </x:c>
      <x:c r="Q29" s="24" t="str">
        <x:v>研究判断</x:v>
      </x:c>
    </x:row>
    <x:row r="30" ht="54" customHeight="1">
      <x:c r="A30" s="24" t="str">
        <x:v>CV026</x:v>
      </x:c>
      <x:c r="B30" s="24" t="str">
        <x:v>转让对价与融资金额比</x:v>
      </x:c>
      <x:c r="C30" s="24" t="str">
        <x:v>二级股权流动</x:v>
      </x:c>
      <x:c r="D30" s="24" t="str">
        <x:v>CASE_ONLY</x:v>
      </x:c>
      <x:c r="E30" s="24" t="n">
        <x:v>9</x:v>
      </x:c>
      <x:c r="F30" s="24" t="str">
        <x:v>案例命题</x:v>
      </x:c>
      <x:c r="G30" s="24" t="n">
        <x:v>6</x:v>
      </x:c>
      <x:c r="H30" s="24" t="str">
        <x:v>案例应用</x:v>
      </x:c>
      <x:c r="I30" s="24" t="str">
        <x:v>CASE</x:v>
      </x:c>
      <x:c r="J30" s="24" t="str">
        <x:v>案例路径变量</x:v>
      </x:c>
      <x:c r="K30" s="24" t="str">
        <x:v>B06 一级/二级交易</x:v>
      </x:c>
      <x:c r="L30" s="24" t="str">
        <x:v>依赖型案例变量</x:v>
      </x:c>
      <x:c r="M30" s="24" t="str">
        <x:v>CV003、CV025及双方金额状态</x:v>
      </x:c>
      <x:c r="N30" s="24" t="str">
        <x:v>有效N较小，仅支持案例/路径叙事，不做总体推断。</x:v>
      </x:c>
      <x:c r="O30" s="24" t="str">
        <x:v>Stage5B导入</x:v>
      </x:c>
      <x:c r="P30" s="24" t="str">
        <x:v>Stage5C导入</x:v>
      </x:c>
      <x:c r="Q30" s="24" t="str">
        <x:v>研究判断</x:v>
      </x:c>
    </x:row>
    <x:row r="31" ht="54" customHeight="1">
      <x:c r="A31" s="24" t="str">
        <x:v>CV027</x:v>
      </x:c>
      <x:c r="B31" s="24" t="str">
        <x:v>金额已知融资轮数</x:v>
      </x:c>
      <x:c r="C31" s="24" t="str">
        <x:v>数据可用性</x:v>
      </x:c>
      <x:c r="D31" s="24" t="str">
        <x:v>QUALITY_COMPANION</x:v>
      </x:c>
      <x:c r="E31" s="24" t="n">
        <x:v>10</x:v>
      </x:c>
      <x:c r="F31" s="24" t="str">
        <x:v>质量伴随</x:v>
      </x:c>
      <x:c r="G31" s="24" t="n">
        <x:v>12</x:v>
      </x:c>
      <x:c r="H31" s="24" t="str">
        <x:v>质量/风险控制</x:v>
      </x:c>
      <x:c r="I31" s="24" t="str">
        <x:v>QUALITY_GATE</x:v>
      </x:c>
      <x:c r="J31" s="24" t="str">
        <x:v>强制质量闸门</x:v>
      </x:c>
      <x:c r="K31" s="24" t="str">
        <x:v>B07 数据质量与证据</x:v>
      </x:c>
      <x:c r="L31" s="24" t="str">
        <x:v>强制质量伴随</x:v>
      </x:c>
      <x:c r="M31" s="24" t="str">
        <x:v>有效N、结构NA、缺失N与warning_code</x:v>
      </x:c>
      <x:c r="N31" s="24" t="str">
        <x:v>反映数据和披露质量，不反映公司经营质量或投资吸引力。</x:v>
      </x:c>
      <x:c r="O31" s="24" t="str">
        <x:v>Stage5B导入</x:v>
      </x:c>
      <x:c r="P31" s="24" t="str">
        <x:v>Stage5C导入</x:v>
      </x:c>
      <x:c r="Q31" s="24" t="str">
        <x:v>研究判断</x:v>
      </x:c>
    </x:row>
    <x:row r="32" ht="54" customHeight="1">
      <x:c r="A32" s="24" t="str">
        <x:v>CV028</x:v>
      </x:c>
      <x:c r="B32" s="24" t="str">
        <x:v>融资轮金额覆盖率</x:v>
      </x:c>
      <x:c r="C32" s="24" t="str">
        <x:v>数据可用性</x:v>
      </x:c>
      <x:c r="D32" s="24" t="str">
        <x:v>QUALITY_COMPANION</x:v>
      </x:c>
      <x:c r="E32" s="24" t="n">
        <x:v>9</x:v>
      </x:c>
      <x:c r="F32" s="24" t="str">
        <x:v>质量伴随</x:v>
      </x:c>
      <x:c r="G32" s="24" t="n">
        <x:v>10</x:v>
      </x:c>
      <x:c r="H32" s="24" t="str">
        <x:v>质量/风险控制</x:v>
      </x:c>
      <x:c r="I32" s="24" t="str">
        <x:v>QUALITY_GATE</x:v>
      </x:c>
      <x:c r="J32" s="24" t="str">
        <x:v>强制质量闸门</x:v>
      </x:c>
      <x:c r="K32" s="24" t="str">
        <x:v>B07 数据质量与证据</x:v>
      </x:c>
      <x:c r="L32" s="24" t="str">
        <x:v>强制质量伴随</x:v>
      </x:c>
      <x:c r="M32" s="24" t="str">
        <x:v>有效N、结构NA、缺失N与warning_code</x:v>
      </x:c>
      <x:c r="N32" s="24" t="str">
        <x:v>反映数据和披露质量，不反映公司经营质量或投资吸引力。</x:v>
      </x:c>
      <x:c r="O32" s="24" t="str">
        <x:v>Stage5B导入</x:v>
      </x:c>
      <x:c r="P32" s="24" t="str">
        <x:v>Stage5C导入</x:v>
      </x:c>
      <x:c r="Q32" s="24" t="str">
        <x:v>研究判断</x:v>
      </x:c>
    </x:row>
    <x:row r="33" ht="54" customHeight="1">
      <x:c r="A33" s="24" t="str">
        <x:v>CV029</x:v>
      </x:c>
      <x:c r="B33" s="24" t="str">
        <x:v>融资轮日期覆盖率</x:v>
      </x:c>
      <x:c r="C33" s="24" t="str">
        <x:v>数据可用性</x:v>
      </x:c>
      <x:c r="D33" s="24" t="str">
        <x:v>QUALITY_COMPANION</x:v>
      </x:c>
      <x:c r="E33" s="24" t="n">
        <x:v>9</x:v>
      </x:c>
      <x:c r="F33" s="24" t="str">
        <x:v>质量伴随</x:v>
      </x:c>
      <x:c r="G33" s="24" t="n">
        <x:v>10</x:v>
      </x:c>
      <x:c r="H33" s="24" t="str">
        <x:v>质量/风险控制</x:v>
      </x:c>
      <x:c r="I33" s="24" t="str">
        <x:v>QUALITY_GATE</x:v>
      </x:c>
      <x:c r="J33" s="24" t="str">
        <x:v>强制质量闸门</x:v>
      </x:c>
      <x:c r="K33" s="24" t="str">
        <x:v>B07 数据质量与证据</x:v>
      </x:c>
      <x:c r="L33" s="24" t="str">
        <x:v>强制质量伴随</x:v>
      </x:c>
      <x:c r="M33" s="24" t="str">
        <x:v>有效N、结构NA、缺失N与warning_code</x:v>
      </x:c>
      <x:c r="N33" s="24" t="str">
        <x:v>反映数据和披露质量，不反映公司经营质量或投资吸引力。</x:v>
      </x:c>
      <x:c r="O33" s="24" t="str">
        <x:v>Stage5B导入</x:v>
      </x:c>
      <x:c r="P33" s="24" t="str">
        <x:v>Stage5C导入</x:v>
      </x:c>
      <x:c r="Q33" s="24" t="str">
        <x:v>研究判断</x:v>
      </x:c>
    </x:row>
    <x:row r="34" ht="54" customHeight="1">
      <x:c r="A34" s="24" t="str">
        <x:v>CV030</x:v>
      </x:c>
      <x:c r="B34" s="24" t="str">
        <x:v>计算型轮次金额占比</x:v>
      </x:c>
      <x:c r="C34" s="24" t="str">
        <x:v>数值来源结构</x:v>
      </x:c>
      <x:c r="D34" s="24" t="str">
        <x:v>QUALITY_COMPANION</x:v>
      </x:c>
      <x:c r="E34" s="24" t="n">
        <x:v>10</x:v>
      </x:c>
      <x:c r="F34" s="24" t="str">
        <x:v>质量伴随</x:v>
      </x:c>
      <x:c r="G34" s="24" t="n">
        <x:v>10</x:v>
      </x:c>
      <x:c r="H34" s="24" t="str">
        <x:v>质量/风险控制</x:v>
      </x:c>
      <x:c r="I34" s="24" t="str">
        <x:v>QUALITY_GATE</x:v>
      </x:c>
      <x:c r="J34" s="24" t="str">
        <x:v>强制质量闸门</x:v>
      </x:c>
      <x:c r="K34" s="24" t="str">
        <x:v>B07 数据质量与证据</x:v>
      </x:c>
      <x:c r="L34" s="24" t="str">
        <x:v>强制质量伴随</x:v>
      </x:c>
      <x:c r="M34" s="24" t="str">
        <x:v>有效N、结构NA、缺失N与warning_code</x:v>
      </x:c>
      <x:c r="N34" s="24" t="str">
        <x:v>反映数据和披露质量，不反映公司经营质量或投资吸引力。</x:v>
      </x:c>
      <x:c r="O34" s="24" t="str">
        <x:v>Stage5B导入</x:v>
      </x:c>
      <x:c r="P34" s="24" t="str">
        <x:v>Stage5C导入</x:v>
      </x:c>
      <x:c r="Q34" s="24" t="str">
        <x:v>研究判断</x:v>
      </x:c>
    </x:row>
    <x:row r="35" ht="54" customHeight="1">
      <x:c r="A35" s="24" t="str">
        <x:v>CV031</x:v>
      </x:c>
      <x:c r="B35" s="24" t="str">
        <x:v>每轮融资证据记录数</x:v>
      </x:c>
      <x:c r="C35" s="24" t="str">
        <x:v>证据密度</x:v>
      </x:c>
      <x:c r="D35" s="24" t="str">
        <x:v>QUALITY_COMPANION</x:v>
      </x:c>
      <x:c r="E35" s="24" t="n">
        <x:v>8</x:v>
      </x:c>
      <x:c r="F35" s="24" t="str">
        <x:v>质量伴随</x:v>
      </x:c>
      <x:c r="G35" s="24" t="n">
        <x:v>8</x:v>
      </x:c>
      <x:c r="H35" s="24" t="str">
        <x:v>质量/风险控制</x:v>
      </x:c>
      <x:c r="I35" s="24" t="str">
        <x:v>QUALITY_GATE</x:v>
      </x:c>
      <x:c r="J35" s="24" t="str">
        <x:v>强制质量闸门</x:v>
      </x:c>
      <x:c r="K35" s="24" t="str">
        <x:v>B07 数据质量与证据</x:v>
      </x:c>
      <x:c r="L35" s="24" t="str">
        <x:v>强制质量伴随</x:v>
      </x:c>
      <x:c r="M35" s="24" t="str">
        <x:v>有效N、结构NA、缺失N与warning_code</x:v>
      </x:c>
      <x:c r="N35" s="24" t="str">
        <x:v>反映数据和披露质量，不反映公司经营质量或投资吸引力。</x:v>
      </x:c>
      <x:c r="O35" s="24" t="str">
        <x:v>Stage5B导入</x:v>
      </x:c>
      <x:c r="P35" s="24" t="str">
        <x:v>Stage5C导入</x:v>
      </x:c>
      <x:c r="Q35" s="24" t="str">
        <x:v>研究判断</x:v>
      </x:c>
    </x:row>
    <x:row r="36" ht="54" customHeight="1">
      <x:c r="A36" s="25" t="str">
        <x:v>CV032</x:v>
      </x:c>
      <x:c r="B36" s="25" t="str">
        <x:v>公司级披露限制标记</x:v>
      </x:c>
      <x:c r="C36" s="25" t="str">
        <x:v>披露边界</x:v>
      </x:c>
      <x:c r="D36" s="25" t="str">
        <x:v>QUALITY_COMPANION</x:v>
      </x:c>
      <x:c r="E36" s="25" t="n">
        <x:v>10</x:v>
      </x:c>
      <x:c r="F36" s="25" t="str">
        <x:v>质量伴随</x:v>
      </x:c>
      <x:c r="G36" s="25" t="n">
        <x:v>10</x:v>
      </x:c>
      <x:c r="H36" s="25" t="str">
        <x:v>质量/风险控制</x:v>
      </x:c>
      <x:c r="I36" s="25" t="str">
        <x:v>QUALITY_GATE</x:v>
      </x:c>
      <x:c r="J36" s="25" t="str">
        <x:v>强制质量闸门</x:v>
      </x:c>
      <x:c r="K36" s="25" t="str">
        <x:v>B07 数据质量与证据</x:v>
      </x:c>
      <x:c r="L36" s="25" t="str">
        <x:v>强制质量伴随</x:v>
      </x:c>
      <x:c r="M36" s="25" t="str">
        <x:v>有效N、结构NA、缺失N与warning_code</x:v>
      </x:c>
      <x:c r="N36" s="25" t="str">
        <x:v>反映数据和披露质量，不反映公司经营质量或投资吸引力。</x:v>
      </x:c>
      <x:c r="O36" s="25" t="str">
        <x:v>Stage5B导入</x:v>
      </x:c>
      <x:c r="P36" s="25" t="str">
        <x:v>Stage5C导入</x:v>
      </x:c>
      <x:c r="Q36" s="25" t="str">
        <x:v>研究判断</x:v>
      </x:c>
    </x:row>
  </x:sheetData>
  <x:mergeCells>
    <x:mergeCell ref="A1:Q1"/>
    <x:mergeCell ref="A2:Q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30"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38" hidden="0" customWidth="1"/>
    <x:col min="12" max="12" width="56" hidden="0" customWidth="1"/>
  </x:cols>
  <x:sheetData>
    <x:row r="1" ht="32" customHeight="1">
      <x:c r="A1" s="34" t="str">
        <x:v>公司轴向画像与资格状态</x:v>
      </x:c>
      <x:c r="B1" s="34"/>
      <x:c r="C1" s="34"/>
      <x:c r="D1" s="34"/>
      <x:c r="E1" s="34"/>
      <x:c r="F1" s="34"/>
      <x:c r="G1" s="34"/>
      <x:c r="H1" s="34"/>
      <x:c r="I1" s="34"/>
      <x:c r="J1" s="34"/>
      <x:c r="K1" s="34"/>
      <x:c r="L1" s="34"/>
    </x:row>
    <x:row r="2" ht="38" customHeight="1">
      <x:c r="A2" s="35" t="str">
        <x:v>公司画像是研究判断，不是公司优劣排名；资格状态用于后续案例设计。</x:v>
      </x:c>
      <x:c r="B2" s="35"/>
      <x:c r="C2" s="35"/>
      <x:c r="D2" s="35"/>
      <x:c r="E2" s="35"/>
      <x:c r="F2" s="35"/>
      <x:c r="G2" s="35"/>
      <x:c r="H2" s="35"/>
      <x:c r="I2" s="35"/>
      <x:c r="J2" s="35"/>
      <x:c r="K2" s="35"/>
      <x:c r="L2" s="35"/>
    </x:row>
    <x:row r="3">
      <x:c r="A3" s="36"/>
      <x:c r="B3" s="36"/>
      <x:c r="C3" s="36"/>
      <x:c r="D3" s="36"/>
      <x:c r="E3" s="36"/>
      <x:c r="F3" s="36"/>
      <x:c r="G3" s="36"/>
      <x:c r="H3" s="36"/>
      <x:c r="I3" s="36"/>
      <x:c r="J3" s="36"/>
      <x:c r="K3" s="36"/>
      <x:c r="L3" s="36"/>
    </x:row>
    <x:row r="4" ht="38" customHeight="1">
      <x:c r="A4" s="38" t="str">
        <x:v>公司ID</x:v>
      </x:c>
      <x:c r="B4" s="38" t="str">
        <x:v>公司名称</x:v>
      </x:c>
      <x:c r="C4" s="38" t="str">
        <x:v>轴向量</x:v>
      </x:c>
      <x:c r="D4" s="38" t="str">
        <x:v>差异画像</x:v>
      </x:c>
      <x:c r="E4" s="38" t="str">
        <x:v>G0</x:v>
      </x:c>
      <x:c r="F4" s="38" t="str">
        <x:v>G1</x:v>
      </x:c>
      <x:c r="G4" s="38" t="str">
        <x:v>G2</x:v>
      </x:c>
      <x:c r="H4" s="38" t="str">
        <x:v>G3</x:v>
      </x:c>
      <x:c r="I4" s="38" t="str">
        <x:v>Stage6B资格</x:v>
      </x:c>
      <x:c r="J4" s="38" t="str">
        <x:v>关键边界</x:v>
      </x:c>
      <x:c r="K4" s="38" t="str">
        <x:v>S6状态</x:v>
      </x:c>
      <x:c r="L4" s="38" t="str">
        <x:v>禁止用法</x:v>
      </x:c>
    </x:row>
    <x:row r="5" ht="64" customHeight="1">
      <x:c r="A5" s="24" t="str">
        <x:v>001282</x:v>
      </x:c>
      <x:c r="B5" s="24" t="str">
        <x:v>三联锻造</x:v>
      </x:c>
      <x:c r="C5" s="24" t="str">
        <x:v>1|0|0|0|1</x:v>
      </x:c>
      <x:c r="D5" s="24" t="str">
        <x:v>单轮、低规模、无确认PE/VC、无转让；适合作为简单融资结构对照，但披露和计算来源限制明显。</x:v>
      </x:c>
      <x:c r="E5" s="24" t="str">
        <x:v>PASS_CORE</x:v>
      </x:c>
      <x:c r="F5" s="24" t="str">
        <x:v>PASS_CONTRAST</x:v>
      </x:c>
      <x:c r="G5" s="24" t="str">
        <x:v>PASS_WITH_LIMITATION</x:v>
      </x:c>
      <x:c r="H5" s="24" t="str">
        <x:v>PASS_RULE_APPLIED</x:v>
      </x:c>
      <x:c r="I5" s="24" t="str">
        <x:v>ELIGIBLE_WITH_LIMITATIONS</x:v>
      </x:c>
      <x:c r="J5" s="24" t="str">
        <x:v>公司级披露限制=1，解释需降级。</x:v>
      </x:c>
      <x:c r="K5" s="24" t="str">
        <x:v>PENDING_STAGE6C</x:v>
      </x:c>
      <x:c r="L5" s="24" t="str">
        <x:v>不得以分数之和或单一指标决定入选。</x:v>
      </x:c>
    </x:row>
    <x:row r="6" ht="64" customHeight="1">
      <x:c r="A6" s="24" t="str">
        <x:v>301563</x:v>
      </x:c>
      <x:c r="B6" s="24" t="str">
        <x:v>云汉芯城</x:v>
      </x:c>
      <x:c r="C6" s="24" t="str">
        <x:v>2|2|2|2|1</x:v>
      </x:c>
      <x:c r="D6" s="24" t="str">
        <x:v>多轮、PE/VC参与深且路径多样、主体结构广、转让活跃；实体信息丰富但金额覆盖和披露限制明显。</x:v>
      </x:c>
      <x:c r="E6" s="24" t="str">
        <x:v>PASS_CORE</x:v>
      </x:c>
      <x:c r="F6" s="24" t="str">
        <x:v>PASS</x:v>
      </x:c>
      <x:c r="G6" s="24" t="str">
        <x:v>PASS_WITH_LIMITATION</x:v>
      </x:c>
      <x:c r="H6" s="24" t="str">
        <x:v>PASS_RULE_APPLIED</x:v>
      </x:c>
      <x:c r="I6" s="24" t="str">
        <x:v>ELIGIBLE_WITH_LIMITATIONS</x:v>
      </x:c>
      <x:c r="J6" s="24" t="str">
        <x:v>公司级披露限制=1，解释需降级。</x:v>
      </x:c>
      <x:c r="K6" s="24" t="str">
        <x:v>PENDING_STAGE6C</x:v>
      </x:c>
      <x:c r="L6" s="24" t="str">
        <x:v>不得以分数之和或单一指标决定入选。</x:v>
      </x:c>
    </x:row>
    <x:row r="7" ht="64" customHeight="1">
      <x:c r="A7" s="24" t="str">
        <x:v>301581</x:v>
      </x:c>
      <x:c r="B7" s="24" t="str">
        <x:v>黄山谷捷</x:v>
      </x:c>
      <x:c r="C7" s="24" t="str">
        <x:v>2|0|1|1|1</x:v>
      </x:c>
      <x:c r="D7" s="24" t="str">
        <x:v>两轮中等规模且高度集中、无确认PE/VC、存在一次零对价转让；适合作为非PE/VC与交易边界对照。</x:v>
      </x:c>
      <x:c r="E7" s="24" t="str">
        <x:v>PASS_CORE</x:v>
      </x:c>
      <x:c r="F7" s="24" t="str">
        <x:v>PASS</x:v>
      </x:c>
      <x:c r="G7" s="24" t="str">
        <x:v>PASS</x:v>
      </x:c>
      <x:c r="H7" s="24" t="str">
        <x:v>PASS_RULE_APPLIED</x:v>
      </x:c>
      <x:c r="I7" s="24" t="str">
        <x:v>ELIGIBLE</x:v>
      </x:c>
      <x:c r="J7" s="24" t="str">
        <x:v>冻结口径内可进入组合比较，仍不支持因果或优劣推断。</x:v>
      </x:c>
      <x:c r="K7" s="24" t="str">
        <x:v>PENDING_STAGE6C</x:v>
      </x:c>
      <x:c r="L7" s="24" t="str">
        <x:v>不得以分数之和或单一指标决定入选。</x:v>
      </x:c>
    </x:row>
    <x:row r="8" ht="64" customHeight="1">
      <x:c r="A8" s="24" t="str">
        <x:v>603418</x:v>
      </x:c>
      <x:c r="B8" s="24" t="str">
        <x:v>友升股份</x:v>
      </x:c>
      <x:c r="C8" s="24" t="str">
        <x:v>2|1|1|0|1</x:v>
      </x:c>
      <x:c r="D8" s="24" t="str">
        <x:v>两轮高规模且集中、PE/VC较晚直接进入、无转让；主体桥接警告较多。</x:v>
      </x:c>
      <x:c r="E8" s="24" t="str">
        <x:v>PASS_CORE</x:v>
      </x:c>
      <x:c r="F8" s="24" t="str">
        <x:v>PASS</x:v>
      </x:c>
      <x:c r="G8" s="24" t="str">
        <x:v>PASS_WITH_WARNING</x:v>
      </x:c>
      <x:c r="H8" s="24" t="str">
        <x:v>PASS_RULE_APPLIED</x:v>
      </x:c>
      <x:c r="I8" s="24" t="str">
        <x:v>ELIGIBLE_WITH_WARNINGS</x:v>
      </x:c>
      <x:c r="J8" s="24" t="str">
        <x:v>主体或PE/VC桥接警告需保留。</x:v>
      </x:c>
      <x:c r="K8" s="24" t="str">
        <x:v>PENDING_STAGE6C</x:v>
      </x:c>
      <x:c r="L8" s="24" t="str">
        <x:v>不得以分数之和或单一指标决定入选。</x:v>
      </x:c>
    </x:row>
    <x:row r="9" ht="64" customHeight="1">
      <x:c r="A9" s="24" t="str">
        <x:v>688758</x:v>
      </x:c>
      <x:c r="B9" s="24" t="str">
        <x:v>赛分科技</x:v>
      </x:c>
      <x:c r="C9" s="24" t="str">
        <x:v>2|0|1|2|2</x:v>
      </x:c>
      <x:c r="D9" s="24" t="str">
        <x:v>三轮高规模、无确认PE/VC、有可计算二级交易且数据质量较好。</x:v>
      </x:c>
      <x:c r="E9" s="24" t="str">
        <x:v>PASS_CORE</x:v>
      </x:c>
      <x:c r="F9" s="24" t="str">
        <x:v>PASS</x:v>
      </x:c>
      <x:c r="G9" s="24" t="str">
        <x:v>PASS</x:v>
      </x:c>
      <x:c r="H9" s="24" t="str">
        <x:v>PASS_RULE_APPLIED</x:v>
      </x:c>
      <x:c r="I9" s="24" t="str">
        <x:v>ELIGIBLE</x:v>
      </x:c>
      <x:c r="J9" s="24" t="str">
        <x:v>冻结口径内可进入组合比较，仍不支持因果或优劣推断。</x:v>
      </x:c>
      <x:c r="K9" s="24" t="str">
        <x:v>PENDING_STAGE6C</x:v>
      </x:c>
      <x:c r="L9" s="24" t="str">
        <x:v>不得以分数之和或单一指标决定入选。</x:v>
      </x:c>
    </x:row>
    <x:row r="10" ht="64" customHeight="1">
      <x:c r="A10" s="24" t="str">
        <x:v>688775</x:v>
      </x:c>
      <x:c r="B10" s="24" t="str">
        <x:v>影石创新</x:v>
      </x:c>
      <x:c r="C10" s="24" t="str">
        <x:v>NA|0|0|1|0</x:v>
      </x:c>
      <x:c r="D10" s="24" t="str">
        <x:v>融资历史不可重构但存在股权转让；只能作为披露、缺失和方法边界案例。</x:v>
      </x:c>
      <x:c r="E10" s="24" t="str">
        <x:v>LIMITED_METHOD_ONLY</x:v>
      </x:c>
      <x:c r="F10" s="24" t="str">
        <x:v>BOUNDARY_ONLY</x:v>
      </x:c>
      <x:c r="G10" s="24" t="str">
        <x:v>LIMITED_BOUNDARY</x:v>
      </x:c>
      <x:c r="H10" s="24" t="str">
        <x:v>PASS_RULE_APPLIED</x:v>
      </x:c>
      <x:c r="I10" s="24" t="str">
        <x:v>METHOD_BOUNDARY_ONLY</x:v>
      </x:c>
      <x:c r="J10" s="24" t="str">
        <x:v>仅方法/披露边界；S1不评分。</x:v>
      </x:c>
      <x:c r="K10" s="24" t="str">
        <x:v>PENDING_STAGE6C</x:v>
      </x:c>
      <x:c r="L10" s="24" t="str">
        <x:v>不得以分数之和或单一指标决定入选。</x:v>
      </x:c>
    </x:row>
    <x:row r="11" ht="64" customHeight="1">
      <x:c r="A11" s="24" t="str">
        <x:v>920100</x:v>
      </x:c>
      <x:c r="B11" s="24" t="str">
        <x:v>三协电机</x:v>
      </x:c>
      <x:c r="C11" s="24" t="str">
        <x:v>2|1|1|0|1</x:v>
      </x:c>
      <x:c r="D11" s="24" t="str">
        <x:v>两轮较低规模、PE/VC较晚直接进入、无转让；路径和证据主要依赖补充摘要。</x:v>
      </x:c>
      <x:c r="E11" s="24" t="str">
        <x:v>PASS_CORE</x:v>
      </x:c>
      <x:c r="F11" s="24" t="str">
        <x:v>PASS</x:v>
      </x:c>
      <x:c r="G11" s="24" t="str">
        <x:v>PASS_WITH_LIMITATION</x:v>
      </x:c>
      <x:c r="H11" s="24" t="str">
        <x:v>PASS_RULE_APPLIED</x:v>
      </x:c>
      <x:c r="I11" s="24" t="str">
        <x:v>ELIGIBLE_WITH_LIMITATIONS</x:v>
      </x:c>
      <x:c r="J11" s="24" t="str">
        <x:v>路径与证据依赖补充摘要。</x:v>
      </x:c>
      <x:c r="K11" s="24" t="str">
        <x:v>PENDING_STAGE6C</x:v>
      </x:c>
      <x:c r="L11" s="24" t="str">
        <x:v>不得以分数之和或单一指标决定入选。</x:v>
      </x:c>
    </x:row>
    <x:row r="12" ht="64" customHeight="1">
      <x:c r="A12" s="25" t="str">
        <x:v>920116</x:v>
      </x:c>
      <x:c r="B12" s="25" t="str">
        <x:v>星图测控</x:v>
      </x:c>
      <x:c r="C12" s="25" t="str">
        <x:v>1|0|1|0|2</x:v>
      </x:c>
      <x:c r="D12" s="25" t="str">
        <x:v>单轮、无确认PE/VC、单轮投资方较多、证据密度高；适合作为简单结构对照。</x:v>
      </x:c>
      <x:c r="E12" s="25" t="str">
        <x:v>PASS_CORE</x:v>
      </x:c>
      <x:c r="F12" s="25" t="str">
        <x:v>PASS_CONTRAST</x:v>
      </x:c>
      <x:c r="G12" s="25" t="str">
        <x:v>PASS_WITH_WARNING</x:v>
      </x:c>
      <x:c r="H12" s="25" t="str">
        <x:v>PASS_RULE_APPLIED</x:v>
      </x:c>
      <x:c r="I12" s="25" t="str">
        <x:v>ELIGIBLE_WITH_WARNINGS</x:v>
      </x:c>
      <x:c r="J12" s="25" t="str">
        <x:v>主体或PE/VC桥接警告需保留。</x:v>
      </x:c>
      <x:c r="K12" s="25" t="str">
        <x:v>PENDING_STAGE6C</x:v>
      </x:c>
      <x:c r="L12" s="25" t="str">
        <x:v>不得以分数之和或单一指标决定入选。</x:v>
      </x:c>
    </x:row>
  </x:sheetData>
  <x:mergeCells>
    <x:mergeCell ref="A1:L1"/>
    <x:mergeCell ref="A2:L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6" hidden="0" customWidth="1"/>
    <x:col min="12" max="12" width="18" hidden="0" customWidth="1"/>
    <x:col min="13" max="13" width="22" hidden="0" customWidth="1"/>
    <x:col min="14" max="14" width="22" hidden="0" customWidth="1"/>
    <x:col min="15" max="15" width="18" hidden="0" customWidth="1"/>
    <x:col min="16" max="16" width="30" hidden="0" customWidth="1"/>
    <x:col min="17" max="17" width="48" hidden="0" customWidth="1"/>
    <x:col min="18" max="18" width="56" hidden="0" customWidth="1"/>
    <x:col min="19" max="19" width="56" hidden="0" customWidth="1"/>
    <x:col min="20" max="20" width="48" hidden="0" customWidth="1"/>
    <x:col min="21" max="21" width="48" hidden="0" customWidth="1"/>
    <x:col min="22" max="22" width="34" hidden="0" customWidth="1"/>
    <x:col min="23" max="23" width="34" hidden="0" customWidth="1"/>
    <x:col min="24" max="24" width="40" hidden="0" customWidth="1"/>
  </x:cols>
  <x:sheetData>
    <x:row r="1" ht="32" customHeight="1">
      <x:c r="A1" s="34" t="str">
        <x:v>代表性公司候选组合（暂存）</x:v>
      </x:c>
      <x:c r="B1" s="34"/>
      <x:c r="C1" s="34"/>
      <x:c r="D1" s="34"/>
      <x:c r="E1" s="34"/>
      <x:c r="F1" s="34"/>
      <x:c r="G1" s="34"/>
      <x:c r="H1" s="34"/>
      <x:c r="I1" s="34"/>
      <x:c r="J1" s="34"/>
      <x:c r="K1" s="34"/>
      <x:c r="L1" s="34"/>
      <x:c r="M1" s="34"/>
      <x:c r="N1" s="34"/>
      <x:c r="O1" s="34"/>
      <x:c r="P1" s="34"/>
      <x:c r="Q1" s="34"/>
      <x:c r="R1" s="34"/>
      <x:c r="S1" s="34"/>
      <x:c r="T1" s="34"/>
      <x:c r="U1" s="34"/>
      <x:c r="V1" s="34"/>
      <x:c r="W1" s="34"/>
      <x:c r="X1" s="34"/>
    </x:row>
    <x:row r="2" ht="38" customHeight="1">
      <x:c r="A2" s="35" t="str">
        <x:v>8个候选组合无排名、无最终选择；必须在Week10论文方法研读后重新审视。</x:v>
      </x:c>
      <x:c r="B2" s="35"/>
      <x:c r="C2" s="35"/>
      <x:c r="D2" s="35"/>
      <x:c r="E2" s="35"/>
      <x:c r="F2" s="35"/>
      <x:c r="G2" s="35"/>
      <x:c r="H2" s="35"/>
      <x:c r="I2" s="35"/>
      <x:c r="J2" s="35"/>
      <x:c r="K2" s="35"/>
      <x:c r="L2" s="35"/>
      <x:c r="M2" s="35"/>
      <x:c r="N2" s="35"/>
      <x:c r="O2" s="35"/>
      <x:c r="P2" s="35"/>
      <x:c r="Q2" s="35"/>
      <x:c r="R2" s="35"/>
      <x:c r="S2" s="35"/>
      <x:c r="T2" s="35"/>
      <x:c r="U2" s="35"/>
      <x:c r="V2" s="35"/>
      <x:c r="W2" s="35"/>
      <x:c r="X2" s="35"/>
    </x:row>
    <x:row r="3">
      <x:c r="A3" s="36"/>
      <x:c r="B3" s="36"/>
      <x:c r="C3" s="36"/>
      <x:c r="D3" s="36"/>
      <x:c r="E3" s="36"/>
      <x:c r="F3" s="36"/>
      <x:c r="G3" s="36"/>
      <x:c r="H3" s="36"/>
      <x:c r="I3" s="36"/>
      <x:c r="J3" s="36"/>
      <x:c r="K3" s="36"/>
      <x:c r="L3" s="36"/>
      <x:c r="M3" s="36"/>
      <x:c r="N3" s="36"/>
      <x:c r="O3" s="36"/>
      <x:c r="P3" s="36"/>
      <x:c r="Q3" s="36"/>
      <x:c r="R3" s="36"/>
      <x:c r="S3" s="36"/>
      <x:c r="T3" s="36"/>
      <x:c r="U3" s="36"/>
      <x:c r="V3" s="36"/>
      <x:c r="W3" s="36"/>
      <x:c r="X3" s="36"/>
    </x:row>
    <x:row r="4" ht="38" customHeight="1">
      <x:c r="A4" s="38" t="str">
        <x:v>组合ID</x:v>
      </x:c>
      <x:c r="B4" s="38" t="str">
        <x:v>组合类型</x:v>
      </x:c>
      <x:c r="C4" s="38" t="str">
        <x:v>成员1_ID</x:v>
      </x:c>
      <x:c r="D4" s="38" t="str">
        <x:v>成员2_ID</x:v>
      </x:c>
      <x:c r="E4" s="38" t="str">
        <x:v>成员3_ID</x:v>
      </x:c>
      <x:c r="F4" s="38" t="str">
        <x:v>成员数</x:v>
      </x:c>
      <x:c r="G4" s="38" t="str">
        <x:v>PEVC数</x:v>
      </x:c>
      <x:c r="H4" s="38" t="str">
        <x:v>非PEVC数</x:v>
      </x:c>
      <x:c r="I4" s="38" t="str">
        <x:v>完整转让数</x:v>
      </x:c>
      <x:c r="J4" s="38" t="str">
        <x:v>方法边界数</x:v>
      </x:c>
      <x:c r="K4" s="38" t="str">
        <x:v>替代路径标志</x:v>
      </x:c>
      <x:c r="L4" s="38" t="str">
        <x:v>P1</x:v>
      </x:c>
      <x:c r="M4" s="38" t="str">
        <x:v>P2</x:v>
      </x:c>
      <x:c r="N4" s="38" t="str">
        <x:v>P3</x:v>
      </x:c>
      <x:c r="O4" s="38" t="str">
        <x:v>P4</x:v>
      </x:c>
      <x:c r="P4" s="38" t="str">
        <x:v>成员</x:v>
      </x:c>
      <x:c r="Q4" s="38" t="str">
        <x:v>适用研究问题</x:v>
      </x:c>
      <x:c r="R4" s="38" t="str">
        <x:v>角色分工</x:v>
      </x:c>
      <x:c r="S4" s="38" t="str">
        <x:v>内部互补画像</x:v>
      </x:c>
      <x:c r="T4" s="38" t="str">
        <x:v>主要优势</x:v>
      </x:c>
      <x:c r="U4" s="38" t="str">
        <x:v>主要限制</x:v>
      </x:c>
      <x:c r="V4" s="38" t="str">
        <x:v>Stage6C状态</x:v>
      </x:c>
      <x:c r="W4" s="38" t="str">
        <x:v>数据层级</x:v>
      </x:c>
      <x:c r="X4" s="38" t="str">
        <x:v>禁止解释</x:v>
      </x:c>
    </x:row>
    <x:row r="5" ht="88" customHeight="1">
      <x:c r="A5" s="24" t="str">
        <x:v>B01</x:v>
      </x:c>
      <x:c r="B5" s="24" t="str">
        <x:v>核心机制对照（二家公司）</x:v>
      </x:c>
      <x:c r="C5" s="24" t="str">
        <x:v>301563</x:v>
      </x:c>
      <x:c r="D5" s="24" t="str">
        <x:v>688758</x:v>
      </x:c>
      <x:c r="E5" s="24"/>
      <x:c r="F5" s="24" t="n">
        <x:v>2</x:v>
      </x:c>
      <x:c r="G5" s="24" t="n">
        <x:v>1</x:v>
      </x:c>
      <x:c r="H5" s="24" t="n">
        <x:v>1</x:v>
      </x:c>
      <x:c r="I5" s="24" t="n">
        <x:v>2</x:v>
      </x:c>
      <x:c r="J5" s="24" t="n">
        <x:v>0</x:v>
      </x:c>
      <x:c r="K5" s="24" t="n">
        <x:v>0</x:v>
      </x:c>
      <x:c r="L5" s="24" t="str">
        <x:v>PASS</x:v>
      </x:c>
      <x:c r="M5" s="24" t="str">
        <x:v>PASS_NON_PEVC</x:v>
      </x:c>
      <x:c r="N5" s="24" t="str">
        <x:v>PASS_FULL</x:v>
      </x:c>
      <x:c r="O5" s="24" t="str">
        <x:v>NOT_APPLICABLE</x:v>
      </x:c>
      <x:c r="P5" s="24" t="str">
        <x:v>云汉芯城 + 赛分科技</x:v>
      </x:c>
      <x:c r="Q5" s="24" t="str">
        <x:v>深度PE/VC路径与无确认PE/VC、可计算二级交易之间的核心对照。</x:v>
      </x:c>
      <x:c r="R5" s="24" t="str">
        <x:v>云汉芯城=机制锚点；赛分科技=清洁对照锚点。</x:v>
      </x:c>
      <x:c r="S5" s="24" t="str">
        <x:v>两家公司在路径、融资结构和转让结构上形成清晰差异。</x:v>
      </x:c>
      <x:c r="T5" s="24" t="str">
        <x:v>两家公司即可同时满足P1—P3，结构紧凑。</x:v>
      </x:c>
      <x:c r="U5" s="24" t="str">
        <x:v>云汉芯城金额覆盖有限；未确认PE/VC不得写成绝对不存在。</x:v>
      </x:c>
      <x:c r="V5" s="24" t="str">
        <x:v>CANDIDATE_CORE_PAIR</x:v>
      </x:c>
      <x:c r="W5" s="24" t="str">
        <x:v>Stage6C研究判断；约束列为公式计算</x:v>
      </x:c>
      <x:c r="X5" s="24" t="str">
        <x:v>候选状态不表示排名或最终入选。</x:v>
      </x:c>
    </x:row>
    <x:row r="6" ht="88" customHeight="1">
      <x:c r="A6" s="24" t="str">
        <x:v>B02</x:v>
      </x:c>
      <x:c r="B6" s="24" t="str">
        <x:v>PE/VC路径比较（二家公司）</x:v>
      </x:c>
      <x:c r="C6" s="24" t="str">
        <x:v>301563</x:v>
      </x:c>
      <x:c r="D6" s="24" t="str">
        <x:v>920100</x:v>
      </x:c>
      <x:c r="E6" s="24"/>
      <x:c r="F6" s="24" t="n">
        <x:v>2</x:v>
      </x:c>
      <x:c r="G6" s="24" t="n">
        <x:v>2</x:v>
      </x:c>
      <x:c r="H6" s="24" t="n">
        <x:v>0</x:v>
      </x:c>
      <x:c r="I6" s="24" t="n">
        <x:v>1</x:v>
      </x:c>
      <x:c r="J6" s="24" t="n">
        <x:v>0</x:v>
      </x:c>
      <x:c r="K6" s="24" t="n">
        <x:v>1</x:v>
      </x:c>
      <x:c r="L6" s="24" t="str">
        <x:v>PASS</x:v>
      </x:c>
      <x:c r="M6" s="24" t="str">
        <x:v>PASS_ALT_PATH</x:v>
      </x:c>
      <x:c r="N6" s="24" t="str">
        <x:v>PASS_FULL</x:v>
      </x:c>
      <x:c r="O6" s="24" t="str">
        <x:v>NOT_APPLICABLE</x:v>
      </x:c>
      <x:c r="P6" s="24" t="str">
        <x:v>云汉芯城 + 三协电机</x:v>
      </x:c>
      <x:c r="Q6" s="24" t="str">
        <x:v>比较深度、多路径进入与较晚、直接进入的路径差异。</x:v>
      </x:c>
      <x:c r="R6" s="24" t="str">
        <x:v>云汉芯城=深度路径；三协电机=晚期直接路径。</x:v>
      </x:c>
      <x:c r="S6" s="24" t="str">
        <x:v>二者均有PE/VC，但进入深度、时点、融资规模和转让结构不同。</x:v>
      </x:c>
      <x:c r="T6" s="24" t="str">
        <x:v>适合讨论PE/VC参与方式差异，不依赖“有/无”二分。</x:v>
      </x:c>
      <x:c r="U6" s="24" t="str">
        <x:v>三协电机证据依赖补充摘要；不能做因果比较。</x:v>
      </x:c>
      <x:c r="V6" s="24" t="str">
        <x:v>CANDIDATE_PATH_PAIR</x:v>
      </x:c>
      <x:c r="W6" s="24" t="str">
        <x:v>Stage6C研究判断；约束列为公式计算</x:v>
      </x:c>
      <x:c r="X6" s="24" t="str">
        <x:v>候选状态不表示排名或最终入选。</x:v>
      </x:c>
    </x:row>
    <x:row r="7" ht="88" customHeight="1">
      <x:c r="A7" s="24" t="str">
        <x:v>B03</x:v>
      </x:c>
      <x:c r="B7" s="24" t="str">
        <x:v>晚期进入与非PE/VC对照（二家公司）</x:v>
      </x:c>
      <x:c r="C7" s="24" t="str">
        <x:v>603418</x:v>
      </x:c>
      <x:c r="D7" s="24" t="str">
        <x:v>688758</x:v>
      </x:c>
      <x:c r="E7" s="24"/>
      <x:c r="F7" s="24" t="n">
        <x:v>2</x:v>
      </x:c>
      <x:c r="G7" s="24" t="n">
        <x:v>1</x:v>
      </x:c>
      <x:c r="H7" s="24" t="n">
        <x:v>1</x:v>
      </x:c>
      <x:c r="I7" s="24" t="n">
        <x:v>1</x:v>
      </x:c>
      <x:c r="J7" s="24" t="n">
        <x:v>0</x:v>
      </x:c>
      <x:c r="K7" s="24" t="n">
        <x:v>0</x:v>
      </x:c>
      <x:c r="L7" s="24" t="str">
        <x:v>PASS</x:v>
      </x:c>
      <x:c r="M7" s="24" t="str">
        <x:v>PASS_NON_PEVC</x:v>
      </x:c>
      <x:c r="N7" s="24" t="str">
        <x:v>PASS_FULL</x:v>
      </x:c>
      <x:c r="O7" s="24" t="str">
        <x:v>NOT_APPLICABLE</x:v>
      </x:c>
      <x:c r="P7" s="24" t="str">
        <x:v>友升股份 + 赛分科技</x:v>
      </x:c>
      <x:c r="Q7" s="24" t="str">
        <x:v>高规模融资下，晚期直接PE/VC进入与无确认PE/VC且存在二级交易的对照。</x:v>
      </x:c>
      <x:c r="R7" s="24" t="str">
        <x:v>友升股份=晚期直接路径；赛分科技=非PE/VC及二级交易对照。</x:v>
      </x:c>
      <x:c r="S7" s="24" t="str">
        <x:v>规模相近但PE/VC路径和转让结构不同，可减少只由规模造成的表面差异。</x:v>
      </x:c>
      <x:c r="T7" s="24" t="str">
        <x:v>同属高规模画像，结构差异更集中。</x:v>
      </x:c>
      <x:c r="U7" s="24" t="str">
        <x:v>友升股份主体桥接警告较多。</x:v>
      </x:c>
      <x:c r="V7" s="24" t="str">
        <x:v>CANDIDATE_CORE_PAIR</x:v>
      </x:c>
      <x:c r="W7" s="24" t="str">
        <x:v>Stage6C研究判断；约束列为公式计算</x:v>
      </x:c>
      <x:c r="X7" s="24" t="str">
        <x:v>候选状态不表示排名或最终入选。</x:v>
      </x:c>
    </x:row>
    <x:row r="8" ht="88" customHeight="1">
      <x:c r="A8" s="24" t="str">
        <x:v>B04</x:v>
      </x:c>
      <x:c r="B8" s="24" t="str">
        <x:v>完整实质谱系（三家公司）</x:v>
      </x:c>
      <x:c r="C8" s="24" t="str">
        <x:v>301563</x:v>
      </x:c>
      <x:c r="D8" s="24" t="str">
        <x:v>301581</x:v>
      </x:c>
      <x:c r="E8" s="24" t="str">
        <x:v>688758</x:v>
      </x:c>
      <x:c r="F8" s="24" t="n">
        <x:v>3</x:v>
      </x:c>
      <x:c r="G8" s="24" t="n">
        <x:v>1</x:v>
      </x:c>
      <x:c r="H8" s="24" t="n">
        <x:v>2</x:v>
      </x:c>
      <x:c r="I8" s="24" t="n">
        <x:v>3</x:v>
      </x:c>
      <x:c r="J8" s="24" t="n">
        <x:v>0</x:v>
      </x:c>
      <x:c r="K8" s="24" t="n">
        <x:v>0</x:v>
      </x:c>
      <x:c r="L8" s="24" t="str">
        <x:v>PASS</x:v>
      </x:c>
      <x:c r="M8" s="24" t="str">
        <x:v>PASS_NON_PEVC</x:v>
      </x:c>
      <x:c r="N8" s="24" t="str">
        <x:v>PASS_FULL</x:v>
      </x:c>
      <x:c r="O8" s="24" t="str">
        <x:v>NOT_APPLICABLE</x:v>
      </x:c>
      <x:c r="P8" s="24" t="str">
        <x:v>云汉芯城 + 黄山谷捷 + 赛分科技</x:v>
      </x:c>
      <x:c r="Q8" s="24" t="str">
        <x:v>覆盖深度PE/VC、无确认PE/VC、零对价转让与正对价二级交易。</x:v>
      </x:c>
      <x:c r="R8" s="24" t="str">
        <x:v>云汉芯城=机制锚点；黄山谷捷=零对价边界；赛分科技=清洁二级交易对照。</x:v>
      </x:c>
      <x:c r="S8" s="24" t="str">
        <x:v>三家公司覆盖多轮/两轮/三轮、深度路径/无确认路径、活跃/零对价/正对价转让。</x:v>
      </x:c>
      <x:c r="T8" s="24" t="str">
        <x:v>实体信息最完整，P1—P3均有多重证据。</x:v>
      </x:c>
      <x:c r="U8" s="24" t="str">
        <x:v>研究问题必须收窄，避免三家公司承担过多主题。</x:v>
      </x:c>
      <x:c r="V8" s="24" t="str">
        <x:v>CANDIDATE_CORE_TRIAD</x:v>
      </x:c>
      <x:c r="W8" s="24" t="str">
        <x:v>Stage6C研究判断；约束列为公式计算</x:v>
      </x:c>
      <x:c r="X8" s="24" t="str">
        <x:v>候选状态不表示排名或最终入选。</x:v>
      </x:c>
    </x:row>
    <x:row r="9" ht="88" customHeight="1">
      <x:c r="A9" s="24" t="str">
        <x:v>B05</x:v>
      </x:c>
      <x:c r="B9" s="24" t="str">
        <x:v>同路径受控比较（三家公司）</x:v>
      </x:c>
      <x:c r="C9" s="24" t="str">
        <x:v>603418</x:v>
      </x:c>
      <x:c r="D9" s="24" t="str">
        <x:v>920100</x:v>
      </x:c>
      <x:c r="E9" s="24" t="str">
        <x:v>688758</x:v>
      </x:c>
      <x:c r="F9" s="24" t="n">
        <x:v>3</x:v>
      </x:c>
      <x:c r="G9" s="24" t="n">
        <x:v>2</x:v>
      </x:c>
      <x:c r="H9" s="24" t="n">
        <x:v>1</x:v>
      </x:c>
      <x:c r="I9" s="24" t="n">
        <x:v>1</x:v>
      </x:c>
      <x:c r="J9" s="24" t="n">
        <x:v>0</x:v>
      </x:c>
      <x:c r="K9" s="24" t="n">
        <x:v>0</x:v>
      </x:c>
      <x:c r="L9" s="24" t="str">
        <x:v>PASS</x:v>
      </x:c>
      <x:c r="M9" s="24" t="str">
        <x:v>PASS_NON_PEVC</x:v>
      </x:c>
      <x:c r="N9" s="24" t="str">
        <x:v>PASS_FULL</x:v>
      </x:c>
      <x:c r="O9" s="24" t="str">
        <x:v>NOT_APPLICABLE</x:v>
      </x:c>
      <x:c r="P9" s="24" t="str">
        <x:v>友升股份 + 三协电机 + 赛分科技</x:v>
      </x:c>
      <x:c r="Q9" s="24" t="str">
        <x:v>在两家晚期直接PE/VC案例中保留规模差异，再加入无确认PE/VC与二级交易对照。</x:v>
      </x:c>
      <x:c r="R9" s="24" t="str">
        <x:v>友升股份=高规模晚期路径；三协电机=低规模晚期路径；赛分科技=外部结构对照。</x:v>
      </x:c>
      <x:c r="S9" s="24" t="str">
        <x:v>友升与三协存在有意重合，用于同路径内比较；赛分提供清晰路径和交易补充。</x:v>
      </x:c>
      <x:c r="T9" s="24" t="str">
        <x:v>把“重复”转化为受控比较条件，而不是简单追求最大差异。</x:v>
      </x:c>
      <x:c r="U9" s="24" t="str">
        <x:v>n=3仍不能视为匹配样本或因果识别。</x:v>
      </x:c>
      <x:c r="V9" s="24" t="str">
        <x:v>CANDIDATE_CONTROLLED_TRIAD</x:v>
      </x:c>
      <x:c r="W9" s="24" t="str">
        <x:v>Stage6C研究判断；约束列为公式计算</x:v>
      </x:c>
      <x:c r="X9" s="24" t="str">
        <x:v>候选状态不表示排名或最终入选。</x:v>
      </x:c>
    </x:row>
    <x:row r="10" ht="88" customHeight="1">
      <x:c r="A10" s="24" t="str">
        <x:v>B06</x:v>
      </x:c>
      <x:c r="B10" s="24" t="str">
        <x:v>方法边界组合（三家公司）</x:v>
      </x:c>
      <x:c r="C10" s="24" t="str">
        <x:v>301563</x:v>
      </x:c>
      <x:c r="D10" s="24" t="str">
        <x:v>688758</x:v>
      </x:c>
      <x:c r="E10" s="24" t="str">
        <x:v>688775</x:v>
      </x:c>
      <x:c r="F10" s="24" t="n">
        <x:v>3</x:v>
      </x:c>
      <x:c r="G10" s="24" t="n">
        <x:v>1</x:v>
      </x:c>
      <x:c r="H10" s="24" t="n">
        <x:v>1</x:v>
      </x:c>
      <x:c r="I10" s="24" t="n">
        <x:v>2</x:v>
      </x:c>
      <x:c r="J10" s="24" t="n">
        <x:v>1</x:v>
      </x:c>
      <x:c r="K10" s="24" t="n">
        <x:v>0</x:v>
      </x:c>
      <x:c r="L10" s="24" t="str">
        <x:v>PASS</x:v>
      </x:c>
      <x:c r="M10" s="24" t="str">
        <x:v>PASS_NON_PEVC</x:v>
      </x:c>
      <x:c r="N10" s="24" t="str">
        <x:v>PASS_FULL</x:v>
      </x:c>
      <x:c r="O10" s="24" t="str">
        <x:v>PASS</x:v>
      </x:c>
      <x:c r="P10" s="24" t="str">
        <x:v>云汉芯城 + 赛分科技 + 影石创新</x:v>
      </x:c>
      <x:c r="Q10" s="24" t="str">
        <x:v>在一组完整核心对照之外，展示融资历史不可重构时变量为何不能计算。</x:v>
      </x:c>
      <x:c r="R10" s="24" t="str">
        <x:v>云汉芯城与赛分科技=实质核心；影石创新=方法/披露边界。</x:v>
      </x:c>
      <x:c r="S10" s="24" t="str">
        <x:v>核心对照与边界案例分工明确，影石创新不参与实质高低判断。</x:v>
      </x:c>
      <x:c r="T10" s="24" t="str">
        <x:v>可直接展示null、NOT_COMPUTABLE和0的区别。</x:v>
      </x:c>
      <x:c r="U10" s="24" t="str">
        <x:v>影石创新只能作为第三个边界案例，不能替代核心案例。</x:v>
      </x:c>
      <x:c r="V10" s="24" t="str">
        <x:v>CONDITIONAL_METHOD_CANDIDATE</x:v>
      </x:c>
      <x:c r="W10" s="24" t="str">
        <x:v>Stage6C研究判断；约束列为公式计算</x:v>
      </x:c>
      <x:c r="X10" s="24" t="str">
        <x:v>候选状态不表示排名或最终入选。</x:v>
      </x:c>
    </x:row>
    <x:row r="11" ht="88" customHeight="1">
      <x:c r="A11" s="24" t="str">
        <x:v>B07</x:v>
      </x:c>
      <x:c r="B11" s="24" t="str">
        <x:v>复杂—简单结构组合（三家公司）</x:v>
      </x:c>
      <x:c r="C11" s="24" t="str">
        <x:v>301563</x:v>
      </x:c>
      <x:c r="D11" s="24" t="str">
        <x:v>688758</x:v>
      </x:c>
      <x:c r="E11" s="24" t="str">
        <x:v>920116</x:v>
      </x:c>
      <x:c r="F11" s="24" t="n">
        <x:v>3</x:v>
      </x:c>
      <x:c r="G11" s="24" t="n">
        <x:v>1</x:v>
      </x:c>
      <x:c r="H11" s="24" t="n">
        <x:v>2</x:v>
      </x:c>
      <x:c r="I11" s="24" t="n">
        <x:v>2</x:v>
      </x:c>
      <x:c r="J11" s="24" t="n">
        <x:v>0</x:v>
      </x:c>
      <x:c r="K11" s="24" t="n">
        <x:v>0</x:v>
      </x:c>
      <x:c r="L11" s="24" t="str">
        <x:v>PASS</x:v>
      </x:c>
      <x:c r="M11" s="24" t="str">
        <x:v>PASS_NON_PEVC</x:v>
      </x:c>
      <x:c r="N11" s="24" t="str">
        <x:v>PASS_FULL</x:v>
      </x:c>
      <x:c r="O11" s="24" t="str">
        <x:v>NOT_APPLICABLE</x:v>
      </x:c>
      <x:c r="P11" s="24" t="str">
        <x:v>云汉芯城 + 赛分科技 + 星图测控</x:v>
      </x:c>
      <x:c r="Q11" s="24" t="str">
        <x:v>比较复杂多路径、清洁二级交易与单轮高投资方密度的简单结构。</x:v>
      </x:c>
      <x:c r="R11" s="24" t="str">
        <x:v>云汉芯城=复杂机制；赛分科技=清洁对照；星图测控=简单结构基线。</x:v>
      </x:c>
      <x:c r="S11" s="24" t="str">
        <x:v>同时覆盖复杂融资、二级交易与单轮结构，互补方向直观。</x:v>
      </x:c>
      <x:c r="T11" s="24" t="str">
        <x:v>适合教学展示和描述性案例写作。</x:v>
      </x:c>
      <x:c r="U11" s="24" t="str">
        <x:v>星图测控单轮密度具有机械性且有名称桥接警告。</x:v>
      </x:c>
      <x:c r="V11" s="24" t="str">
        <x:v>CANDIDATE_DESCRIPTIVE_TRIAD</x:v>
      </x:c>
      <x:c r="W11" s="24" t="str">
        <x:v>Stage6C研究判断；约束列为公式计算</x:v>
      </x:c>
      <x:c r="X11" s="24" t="str">
        <x:v>候选状态不表示排名或最终入选。</x:v>
      </x:c>
    </x:row>
    <x:row r="12" ht="88" customHeight="1">
      <x:c r="A12" s="25" t="str">
        <x:v>B08</x:v>
      </x:c>
      <x:c r="B12" s="25" t="str">
        <x:v>低规模简单基线组合（三家公司）</x:v>
      </x:c>
      <x:c r="C12" s="25" t="str">
        <x:v>301563</x:v>
      </x:c>
      <x:c r="D12" s="25" t="str">
        <x:v>301581</x:v>
      </x:c>
      <x:c r="E12" s="25" t="str">
        <x:v>001282</x:v>
      </x:c>
      <x:c r="F12" s="25" t="n">
        <x:v>3</x:v>
      </x:c>
      <x:c r="G12" s="25" t="n">
        <x:v>1</x:v>
      </x:c>
      <x:c r="H12" s="25" t="n">
        <x:v>2</x:v>
      </x:c>
      <x:c r="I12" s="25" t="n">
        <x:v>2</x:v>
      </x:c>
      <x:c r="J12" s="25" t="n">
        <x:v>0</x:v>
      </x:c>
      <x:c r="K12" s="25" t="n">
        <x:v>0</x:v>
      </x:c>
      <x:c r="L12" s="25" t="str">
        <x:v>PASS</x:v>
      </x:c>
      <x:c r="M12" s="25" t="str">
        <x:v>PASS_NON_PEVC</x:v>
      </x:c>
      <x:c r="N12" s="25" t="str">
        <x:v>PASS_FULL</x:v>
      </x:c>
      <x:c r="O12" s="25" t="str">
        <x:v>NOT_APPLICABLE</x:v>
      </x:c>
      <x:c r="P12" s="25" t="str">
        <x:v>云汉芯城 + 黄山谷捷 + 三联锻造</x:v>
      </x:c>
      <x:c r="Q12" s="25" t="str">
        <x:v>以复杂PE/VC路径为锚点，对照中等两轮零对价交易与低规模单轮简单结构。</x:v>
      </x:c>
      <x:c r="R12" s="25" t="str">
        <x:v>云汉芯城=机制锚点；黄山谷捷=交易边界；三联锻造=低规模简单基线。</x:v>
      </x:c>
      <x:c r="S12" s="25" t="str">
        <x:v>三家公司在轮数、路径、主体和转让结构上形成逐层差异。</x:v>
      </x:c>
      <x:c r="T12" s="25" t="str">
        <x:v>能够解释代表性并非只取融资金额最高公司。</x:v>
      </x:c>
      <x:c r="U12" s="25" t="str">
        <x:v>三联锻造信息维度有限，且金额为计算型。</x:v>
      </x:c>
      <x:c r="V12" s="25" t="str">
        <x:v>CANDIDATE_DESCRIPTIVE_TRIAD</x:v>
      </x:c>
      <x:c r="W12" s="25" t="str">
        <x:v>Stage6C研究判断；约束列为公式计算</x:v>
      </x:c>
      <x:c r="X12" s="25" t="str">
        <x:v>候选状态不表示排名或最终入选。</x:v>
      </x:c>
    </x:row>
  </x:sheetData>
  <x:mergeCells>
    <x:mergeCell ref="A1:X1"/>
    <x:mergeCell ref="A2:X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64" hidden="0" customWidth="1"/>
    <x:col min="4" max="4" width="52" hidden="0" customWidth="1"/>
    <x:col min="5" max="5" width="52" hidden="0" customWidth="1"/>
    <x:col min="6" max="6" width="42" hidden="0" customWidth="1"/>
    <x:col min="7" max="7" width="36" hidden="0" customWidth="1"/>
    <x:col min="8" max="8" width="24" hidden="0" customWidth="1"/>
  </x:cols>
  <x:sheetData>
    <x:row r="1" ht="32" customHeight="1">
      <x:c r="A1" s="34" t="str">
        <x:v>数据层级、缺失语义与解释边界</x:v>
      </x:c>
      <x:c r="B1" s="34"/>
      <x:c r="C1" s="34"/>
      <x:c r="D1" s="34"/>
      <x:c r="E1" s="34"/>
      <x:c r="F1" s="34"/>
      <x:c r="G1" s="34"/>
      <x:c r="H1" s="34"/>
    </x:row>
    <x:row r="2" ht="38" customHeight="1">
      <x:c r="A2" s="35" t="str">
        <x:v>本表是使用Week9冻结成果时必须遵循的读数规则。</x:v>
      </x:c>
      <x:c r="B2" s="35"/>
      <x:c r="C2" s="35"/>
      <x:c r="D2" s="35"/>
      <x:c r="E2" s="35"/>
      <x:c r="F2" s="35"/>
      <x:c r="G2" s="35"/>
      <x:c r="H2" s="35"/>
    </x:row>
    <x:row r="3">
      <x:c r="A3" s="36"/>
      <x:c r="B3" s="36"/>
      <x:c r="C3" s="36"/>
      <x:c r="D3" s="36"/>
      <x:c r="E3" s="36"/>
      <x:c r="F3" s="36"/>
      <x:c r="G3" s="36"/>
      <x:c r="H3" s="36"/>
    </x:row>
    <x:row r="4" ht="38" customHeight="1">
      <x:c r="A4" s="38" t="str">
        <x:v>规则ID</x:v>
      </x:c>
      <x:c r="B4" s="38" t="str">
        <x:v>对象</x:v>
      </x:c>
      <x:c r="C4" s="38" t="str">
        <x:v>定义</x:v>
      </x:c>
      <x:c r="D4" s="38" t="str">
        <x:v>正确处理</x:v>
      </x:c>
      <x:c r="E4" s="38" t="str">
        <x:v>禁止处理</x:v>
      </x:c>
      <x:c r="F4" s="38" t="str">
        <x:v>示例</x:v>
      </x:c>
      <x:c r="G4" s="38" t="str">
        <x:v>适用输出</x:v>
      </x:c>
      <x:c r="H4" s="38" t="str">
        <x:v>状态</x:v>
      </x:c>
    </x:row>
    <x:row r="5" ht="66" customHeight="1">
      <x:c r="A5" s="18" t="str">
        <x:v>B01</x:v>
      </x:c>
      <x:c r="B5" s="18" t="str">
        <x:v>原文披露值</x:v>
      </x:c>
      <x:c r="C5" s="18" t="str">
        <x:v>招股书或正式披露直接给出的事实</x:v>
      </x:c>
      <x:c r="D5" s="18" t="str">
        <x:v>保留原措辞与来源记录</x:v>
      </x:c>
      <x:c r="E5" s="18" t="str">
        <x:v>用计算结果冒充披露原值</x:v>
      </x:c>
      <x:c r="F5" s="18" t="str">
        <x:v>披露交易对价、主体名称</x:v>
      </x:c>
      <x:c r="G5" s="18" t="str">
        <x:v>全部</x:v>
      </x:c>
      <x:c r="H5" s="18" t="str">
        <x:v>ENFORCED</x:v>
      </x:c>
    </x:row>
    <x:row r="6" ht="66" customHeight="1">
      <x:c r="A6" s="18" t="str">
        <x:v>B02</x:v>
      </x:c>
      <x:c r="B6" s="18" t="str">
        <x:v>标准化值</x:v>
      </x:c>
      <x:c r="C6" s="18" t="str">
        <x:v>对单位、ID、字段和枚举统一后的值</x:v>
      </x:c>
      <x:c r="D6" s="18" t="str">
        <x:v>可跨表关联，保留来源</x:v>
      </x:c>
      <x:c r="E6" s="18" t="str">
        <x:v>覆盖Week8冻结数据</x:v>
      </x:c>
      <x:c r="F6" s="18" t="str">
        <x:v>万元口径、公司ID</x:v>
      </x:c>
      <x:c r="G6" s="18" t="str">
        <x:v>全部</x:v>
      </x:c>
      <x:c r="H6" s="18" t="str">
        <x:v>ENFORCED</x:v>
      </x:c>
    </x:row>
    <x:row r="7" ht="66" customHeight="1">
      <x:c r="A7" s="18" t="str">
        <x:v>B03</x:v>
      </x:c>
      <x:c r="B7" s="18" t="str">
        <x:v>计算值</x:v>
      </x:c>
      <x:c r="C7" s="18" t="str">
        <x:v>基于冻结输入和公开公式得到的结果</x:v>
      </x:c>
      <x:c r="D7" s="18" t="str">
        <x:v>附算法、分母与覆盖率</x:v>
      </x:c>
      <x:c r="E7" s="18" t="str">
        <x:v>超出披露覆盖进行外推</x:v>
      </x:c>
      <x:c r="F7" s="18" t="str">
        <x:v>融资金额下限、密度指标</x:v>
      </x:c>
      <x:c r="G7" s="18" t="str">
        <x:v>统计/变量</x:v>
      </x:c>
      <x:c r="H7" s="18" t="str">
        <x:v>ENFORCED</x:v>
      </x:c>
    </x:row>
    <x:row r="8" ht="66" customHeight="1">
      <x:c r="A8" s="18" t="str">
        <x:v>B04</x:v>
      </x:c>
      <x:c r="B8" s="18" t="str">
        <x:v>研究判断</x:v>
      </x:c>
      <x:c r="C8" s="18" t="str">
        <x:v>为学术或商业问题形成的分类与用途判断</x:v>
      </x:c>
      <x:c r="D8" s="18" t="str">
        <x:v>与事实列分开、保留解释边界</x:v>
      </x:c>
      <x:c r="E8" s="18" t="str">
        <x:v>当作公司客观评级</x:v>
      </x:c>
      <x:c r="F8" s="18" t="str">
        <x:v>变量角色、公司画像</x:v>
      </x:c>
      <x:c r="G8" s="18" t="str">
        <x:v>价值/选择</x:v>
      </x:c>
      <x:c r="H8" s="18" t="str">
        <x:v>ENFORCED</x:v>
      </x:c>
    </x:row>
    <x:row r="9" ht="66" customHeight="1">
      <x:c r="A9" s="18" t="str">
        <x:v>B05</x:v>
      </x:c>
      <x:c r="B9" s="18" t="str">
        <x:v>null</x:v>
      </x:c>
      <x:c r="C9" s="18" t="str">
        <x:v>没有可报告的值；原因需由状态解释</x:v>
      </x:c>
      <x:c r="D9" s="18" t="str">
        <x:v>结合final_status与reason_code读取</x:v>
      </x:c>
      <x:c r="E9" s="18" t="str">
        <x:v>自动替换为0</x:v>
      </x:c>
      <x:c r="F9" s="18" t="str">
        <x:v>影石创新部分变量</x:v>
      </x:c>
      <x:c r="G9" s="18" t="str">
        <x:v>长表</x:v>
      </x:c>
      <x:c r="H9" s="18" t="str">
        <x:v>ENFORCED</x:v>
      </x:c>
    </x:row>
    <x:row r="10" ht="66" customHeight="1">
      <x:c r="A10" s="18" t="str">
        <x:v>B06</x:v>
      </x:c>
      <x:c r="B10" s="18" t="str">
        <x:v>STRUCTURAL_NA</x:v>
      </x:c>
      <x:c r="C10" s="18" t="str">
        <x:v>变量对该公司结构上不适用</x:v>
      </x:c>
      <x:c r="D10" s="18" t="str">
        <x:v>不进入以该变量为分母的比较</x:v>
      </x:c>
      <x:c r="E10" s="18" t="str">
        <x:v>当作缺失质量问题或0</x:v>
      </x:c>
      <x:c r="F10" s="18" t="str">
        <x:v>无PE/VC时的进入时点变量</x:v>
      </x:c>
      <x:c r="G10" s="18" t="str">
        <x:v>长表</x:v>
      </x:c>
      <x:c r="H10" s="18" t="str">
        <x:v>ENFORCED</x:v>
      </x:c>
    </x:row>
    <x:row r="11" ht="66" customHeight="1">
      <x:c r="A11" s="18" t="str">
        <x:v>B07</x:v>
      </x:c>
      <x:c r="B11" s="18" t="str">
        <x:v>NOT_COMPUTABLE</x:v>
      </x:c>
      <x:c r="C11" s="18" t="str">
        <x:v>概念适用但证据不足，无法计算</x:v>
      </x:c>
      <x:c r="D11" s="18" t="str">
        <x:v>保持null并披露原因</x:v>
      </x:c>
      <x:c r="E11" s="18" t="str">
        <x:v>均值填补、0填补或主观估计</x:v>
      </x:c>
      <x:c r="F11" s="18" t="str">
        <x:v>影石创新CV003/CV004/CV026</x:v>
      </x:c>
      <x:c r="G11" s="18" t="str">
        <x:v>长表</x:v>
      </x:c>
      <x:c r="H11" s="18" t="str">
        <x:v>ENFORCED</x:v>
      </x:c>
    </x:row>
    <x:row r="12" ht="66" customHeight="1">
      <x:c r="A12" s="18" t="str">
        <x:v>B08</x:v>
      </x:c>
      <x:c r="B12" s="18" t="str">
        <x:v>显式0</x:v>
      </x:c>
      <x:c r="C12" s="18" t="str">
        <x:v>证据支持数值确为零</x:v>
      </x:c>
      <x:c r="D12" s="18" t="str">
        <x:v>explicit_zero_flag需能识别</x:v>
      </x:c>
      <x:c r="E12" s="18" t="str">
        <x:v>与null合并处理</x:v>
      </x:c>
      <x:c r="F12" s="18" t="str">
        <x:v>冻结口径内确认数为0</x:v>
      </x:c>
      <x:c r="G12" s="18" t="str">
        <x:v>长表</x:v>
      </x:c>
      <x:c r="H12" s="18" t="str">
        <x:v>ENFORCED</x:v>
      </x:c>
    </x:row>
    <x:row r="13" ht="66" customHeight="1">
      <x:c r="A13" s="18" t="str">
        <x:v>B09</x:v>
      </x:c>
      <x:c r="B13" s="18" t="str">
        <x:v>小样本边界</x:v>
      </x:c>
      <x:c r="C13" s="18" t="str">
        <x:v>8家公司仅支持样本内描述和案例开发</x:v>
      </x:c>
      <x:c r="D13" s="18" t="str">
        <x:v>报告范围、分布和异质性</x:v>
      </x:c>
      <x:c r="E13" s="18" t="str">
        <x:v>显著性、因果性、总体代表性宣称</x:v>
      </x:c>
      <x:c r="F13" s="18" t="str">
        <x:v>所有统计与组合</x:v>
      </x:c>
      <x:c r="G13" s="18" t="str">
        <x:v>全部</x:v>
      </x:c>
      <x:c r="H13" s="18" t="str">
        <x:v>ENFORCED</x:v>
      </x:c>
    </x:row>
    <x:row r="14" ht="66" customHeight="1">
      <x:c r="A14" s="19" t="str">
        <x:v>B10</x:v>
      </x:c>
      <x:c r="B14" s="19" t="str">
        <x:v>代表性选择</x:v>
      </x:c>
      <x:c r="C14" s="19" t="str">
        <x:v>取决于研究问题和方法，不是金额排名</x:v>
      </x:c>
      <x:c r="D14" s="19" t="str">
        <x:v>论文研读后形成选择准则</x:v>
      </x:c>
      <x:c r="E14" s="19" t="str">
        <x:v>在Week9直接选2—3家公司</x:v>
      </x:c>
      <x:c r="F14" s="19" t="str">
        <x:v>Stage6C候选组合</x:v>
      </x:c>
      <x:c r="G14" s="19" t="str">
        <x:v>选择阶段</x:v>
      </x:c>
      <x:c r="H14" s="19" t="str">
        <x:v>DEFERRED</x:v>
      </x:c>
    </x:row>
  </x:sheetData>
  <x:mergeCells>
    <x:mergeCell ref="A1:H1"/>
    <x:mergeCell ref="A2:H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56" hidden="0" customWidth="1"/>
    <x:col min="4" max="4" width="54" hidden="0" customWidth="1"/>
    <x:col min="5" max="5" width="48" hidden="0" customWidth="1"/>
    <x:col min="6" max="6" width="46" hidden="0" customWidth="1"/>
    <x:col min="7" max="7" width="36" hidden="0" customWidth="1"/>
    <x:col min="8" max="8" width="22" hidden="0" customWidth="1"/>
  </x:cols>
  <x:sheetData>
    <x:row r="1" ht="32" customHeight="1">
      <x:c r="A1" s="34" t="str">
        <x:v>Week 10 交接：VC/PE论文研读与方法校准</x:v>
      </x:c>
      <x:c r="B1" s="34"/>
      <x:c r="C1" s="34"/>
      <x:c r="D1" s="34"/>
      <x:c r="E1" s="34"/>
      <x:c r="F1" s="34"/>
      <x:c r="G1" s="34"/>
      <x:c r="H1" s="34"/>
    </x:row>
    <x:row r="2" ht="38" customHeight="1">
      <x:c r="A2" s="35" t="str">
        <x:v>Week10先研读论文，再决定是否修订变量和代表性公司选择标准；Week9 v1.0保持不变。</x:v>
      </x:c>
      <x:c r="B2" s="35"/>
      <x:c r="C2" s="35"/>
      <x:c r="D2" s="35"/>
      <x:c r="E2" s="35"/>
      <x:c r="F2" s="35"/>
      <x:c r="G2" s="35"/>
      <x:c r="H2" s="35"/>
    </x:row>
    <x:row r="3">
      <x:c r="A3" s="36"/>
      <x:c r="B3" s="36"/>
      <x:c r="C3" s="36"/>
      <x:c r="D3" s="36"/>
      <x:c r="E3" s="36"/>
      <x:c r="F3" s="36"/>
      <x:c r="G3" s="36"/>
      <x:c r="H3" s="36"/>
    </x:row>
    <x:row r="4" ht="25" customHeight="1">
      <x:c r="A4" s="37" t="str">
        <x:v>A. 建议流程</x:v>
      </x:c>
      <x:c r="B4" s="37"/>
      <x:c r="C4" s="37"/>
      <x:c r="D4" s="37"/>
      <x:c r="E4" s="37"/>
      <x:c r="F4" s="37"/>
      <x:c r="G4" s="37"/>
      <x:c r="H4" s="37"/>
    </x:row>
    <x:row r="5" ht="38" customHeight="1">
      <x:c r="A5" s="38" t="str">
        <x:v>步骤</x:v>
      </x:c>
      <x:c r="B5" s="38" t="str">
        <x:v>任务</x:v>
      </x:c>
      <x:c r="C5" s="38" t="str">
        <x:v>输入</x:v>
      </x:c>
      <x:c r="D5" s="38" t="str">
        <x:v>处理</x:v>
      </x:c>
      <x:c r="E5" s="38" t="str">
        <x:v>输出</x:v>
      </x:c>
      <x:c r="F5" s="38" t="str">
        <x:v>回写规则</x:v>
      </x:c>
      <x:c r="G5" s="38" t="str">
        <x:v>验收标准</x:v>
      </x:c>
      <x:c r="H5" s="38" t="str">
        <x:v>状态</x:v>
      </x:c>
    </x:row>
    <x:row r="6" ht="70" customHeight="1">
      <x:c r="A6" s="18" t="n">
        <x:v>1</x:v>
      </x:c>
      <x:c r="B6" s="18" t="str">
        <x:v>选择并研读目标论文</x:v>
      </x:c>
      <x:c r="C6" s="18" t="str">
        <x:v>论文全文、附录、变量表</x:v>
      </x:c>
      <x:c r="D6" s="18" t="str">
        <x:v>拆解研究问题、理论机制、样本、识别、变量、稳健性</x:v>
      </x:c>
      <x:c r="E6" s="18" t="str">
        <x:v>结构化论文研读卡</x:v>
      </x:c>
      <x:c r="F6" s="18" t="str">
        <x:v>不得直接回写Week9</x:v>
      </x:c>
      <x:c r="G6" s="18" t="str">
        <x:v>方法字段完整</x:v>
      </x:c>
      <x:c r="H6" s="18" t="str">
        <x:v>PENDING</x:v>
      </x:c>
    </x:row>
    <x:row r="7" ht="70" customHeight="1">
      <x:c r="A7" s="18" t="n">
        <x:v>2</x:v>
      </x:c>
      <x:c r="B7" s="18" t="str">
        <x:v>建立方法映射</x:v>
      </x:c>
      <x:c r="C7" s="18" t="str">
        <x:v>论文方法+Week9变量字典</x:v>
      </x:c>
      <x:c r="D7" s="18" t="str">
        <x:v>逐项标记可借鉴、需改写、不可迁移</x:v>
      </x:c>
      <x:c r="E7" s="18" t="str">
        <x:v>论文—本项目方法映射表</x:v>
      </x:c>
      <x:c r="F7" s="18" t="str">
        <x:v>研究判断单独记录</x:v>
      </x:c>
      <x:c r="G7" s="18" t="str">
        <x:v>每项有理由</x:v>
      </x:c>
      <x:c r="H7" s="18" t="str">
        <x:v>PENDING</x:v>
      </x:c>
    </x:row>
    <x:row r="8" ht="70" customHeight="1">
      <x:c r="A8" s="18" t="n">
        <x:v>3</x:v>
      </x:c>
      <x:c r="B8" s="18" t="str">
        <x:v>开展变量差距分析</x:v>
      </x:c>
      <x:c r="C8" s="18" t="str">
        <x:v>Stage4C长表+Stage5D整合地图</x:v>
      </x:c>
      <x:c r="D8" s="18" t="str">
        <x:v>检查定义、测量层级、可计算性和缺失偏差</x:v>
      </x:c>
      <x:c r="E8" s="18" t="str">
        <x:v>变量保留/修订/新增/删除建议</x:v>
      </x:c>
      <x:c r="F8" s="18" t="str">
        <x:v>不覆盖v1.0；必要时建v1.1</x:v>
      </x:c>
      <x:c r="G8" s="18" t="str">
        <x:v>区分事实与判断</x:v>
      </x:c>
      <x:c r="H8" s="18" t="str">
        <x:v>PENDING</x:v>
      </x:c>
    </x:row>
    <x:row r="9" ht="70" customHeight="1">
      <x:c r="A9" s="18" t="n">
        <x:v>4</x:v>
      </x:c>
      <x:c r="B9" s="18" t="str">
        <x:v>重审案例选择标准</x:v>
      </x:c>
      <x:c r="C9" s="18" t="str">
        <x:v>公司画像+候选组合+论文方法</x:v>
      </x:c>
      <x:c r="D9" s="18" t="str">
        <x:v>确定研究主问题、案例逻辑、纳入排除规则</x:v>
      </x:c>
      <x:c r="E9" s="18" t="str">
        <x:v>代表性选择方案草案</x:v>
      </x:c>
      <x:c r="F9" s="18" t="str">
        <x:v>禁止仅按融资额或S6分值选择</x:v>
      </x:c>
      <x:c r="G9" s="18" t="str">
        <x:v>规则可复核</x:v>
      </x:c>
      <x:c r="H9" s="18" t="str">
        <x:v>PENDING</x:v>
      </x:c>
    </x:row>
    <x:row r="10" ht="70" customHeight="1">
      <x:c r="A10" s="19" t="n">
        <x:v>5</x:v>
      </x:c>
      <x:c r="B10" s="19" t="str">
        <x:v>形成Week10决策闸门</x:v>
      </x:c>
      <x:c r="C10" s="19" t="str">
        <x:v>全部上述输出</x:v>
      </x:c>
      <x:c r="D10" s="19" t="str">
        <x:v>判断是否需要数据补充或版本升级</x:v>
      </x:c>
      <x:c r="E10" s="19" t="str">
        <x:v>GO / REVISE / HOLD</x:v>
      </x:c>
      <x:c r="F10" s="19" t="str">
        <x:v>新证据走独立修复流程</x:v>
      </x:c>
      <x:c r="G10" s="19" t="str">
        <x:v>选择结论有证据链</x:v>
      </x:c>
      <x:c r="H10" s="19" t="str">
        <x:v>PENDING</x:v>
      </x:c>
    </x:row>
    <x:row r="11">
      <x:c r="A11" s="36"/>
      <x:c r="B11" s="36"/>
      <x:c r="C11" s="36"/>
      <x:c r="D11" s="36"/>
      <x:c r="E11" s="36"/>
      <x:c r="F11" s="36"/>
      <x:c r="G11" s="36"/>
      <x:c r="H11" s="36"/>
    </x:row>
    <x:row r="12">
      <x:c r="A12" s="36"/>
      <x:c r="B12" s="36"/>
      <x:c r="C12" s="36"/>
      <x:c r="D12" s="36"/>
      <x:c r="E12" s="36"/>
      <x:c r="F12" s="36"/>
      <x:c r="G12" s="36"/>
      <x:c r="H12" s="36"/>
    </x:row>
    <x:row r="13" ht="25" customHeight="1">
      <x:c r="A13" s="37" t="str">
        <x:v>B. 论文研读最低提取字段</x:v>
      </x:c>
      <x:c r="B13" s="37"/>
      <x:c r="C13" s="37"/>
      <x:c r="D13" s="37"/>
      <x:c r="E13" s="37"/>
      <x:c r="F13" s="37"/>
      <x:c r="G13" s="37"/>
      <x:c r="H13" s="37"/>
    </x:row>
    <x:row r="14" ht="38" customHeight="1">
      <x:c r="A14" s="38" t="str">
        <x:v>字段组</x:v>
      </x:c>
      <x:c r="B14" s="38" t="str">
        <x:v>最低提取内容</x:v>
      </x:c>
      <x:c r="C14" s="38" t="str">
        <x:v>为什么重要</x:v>
      </x:c>
      <x:c r="D14" s="38" t="str">
        <x:v>与Week9接口</x:v>
      </x:c>
      <x:c r="E14" s="38" t="str">
        <x:v>常见风险</x:v>
      </x:c>
      <x:c r="F14" s="38" t="str">
        <x:v>记录形式</x:v>
      </x:c>
      <x:c r="G14" s="38" t="str">
        <x:v>必填</x:v>
      </x:c>
      <x:c r="H14" s="38" t="str">
        <x:v>状态</x:v>
      </x:c>
    </x:row>
    <x:row r="15" ht="70" customHeight="1">
      <x:c r="A15" s="18" t="str">
        <x:v>研究设计</x:v>
      </x:c>
      <x:c r="B15" s="18" t="str">
        <x:v>研究问题、理论机制、分析单位、时间窗口</x:v>
      </x:c>
      <x:c r="C15" s="18" t="str">
        <x:v>决定变量和案例是否匹配</x:v>
      </x:c>
      <x:c r="D15" s="18" t="str">
        <x:v>变量字典、公司画像</x:v>
      </x:c>
      <x:c r="E15" s="18" t="str">
        <x:v>只模仿统计模型不看问题</x:v>
      </x:c>
      <x:c r="F15" s="18" t="str">
        <x:v>论文研读卡</x:v>
      </x:c>
      <x:c r="G15" s="18" t="str">
        <x:v>YES</x:v>
      </x:c>
      <x:c r="H15" s="18" t="str">
        <x:v>PENDING</x:v>
      </x:c>
    </x:row>
    <x:row r="16" ht="70" customHeight="1">
      <x:c r="A16" s="18" t="str">
        <x:v>样本与识别</x:v>
      </x:c>
      <x:c r="B16" s="18" t="str">
        <x:v>样本来源、纳入排除、对照、内生性处理</x:v>
      </x:c>
      <x:c r="C16" s="18" t="str">
        <x:v>决定结论强度和可迁移性</x:v>
      </x:c>
      <x:c r="D16" s="18" t="str">
        <x:v>候选组合、边界表</x:v>
      </x:c>
      <x:c r="E16" s="18" t="str">
        <x:v>把大样本识别直接移植到n=8</x:v>
      </x:c>
      <x:c r="F16" s="18" t="str">
        <x:v>方法映射</x:v>
      </x:c>
      <x:c r="G16" s="18" t="str">
        <x:v>YES</x:v>
      </x:c>
      <x:c r="H16" s="18" t="str">
        <x:v>PENDING</x:v>
      </x:c>
    </x:row>
    <x:row r="17" ht="70" customHeight="1">
      <x:c r="A17" s="18" t="str">
        <x:v>变量测量</x:v>
      </x:c>
      <x:c r="B17" s="18" t="str">
        <x:v>因变量、自变量、机制变量、控制变量、算法</x:v>
      </x:c>
      <x:c r="C17" s="18" t="str">
        <x:v>检验现有32变量是否覆盖研究构念</x:v>
      </x:c>
      <x:c r="D17" s="18" t="str">
        <x:v>变量字典、长表</x:v>
      </x:c>
      <x:c r="E17" s="18" t="str">
        <x:v>同名变量定义不同</x:v>
      </x:c>
      <x:c r="F17" s="18" t="str">
        <x:v>变量对照表</x:v>
      </x:c>
      <x:c r="G17" s="18" t="str">
        <x:v>YES</x:v>
      </x:c>
      <x:c r="H17" s="18" t="str">
        <x:v>PENDING</x:v>
      </x:c>
    </x:row>
    <x:row r="18" ht="70" customHeight="1">
      <x:c r="A18" s="18" t="str">
        <x:v>缺失处理</x:v>
      </x:c>
      <x:c r="B18" s="18" t="str">
        <x:v>缺失机制、删除、插补、敏感性分析</x:v>
      </x:c>
      <x:c r="C18" s="18" t="str">
        <x:v>保护null与0的区别</x:v>
      </x:c>
      <x:c r="D18" s="18" t="str">
        <x:v>可用性清单、长表</x:v>
      </x:c>
      <x:c r="E18" s="18" t="str">
        <x:v>机械插补不可计算值</x:v>
      </x:c>
      <x:c r="F18" s="18" t="str">
        <x:v>缺失策略表</x:v>
      </x:c>
      <x:c r="G18" s="18" t="str">
        <x:v>YES</x:v>
      </x:c>
      <x:c r="H18" s="18" t="str">
        <x:v>PENDING</x:v>
      </x:c>
    </x:row>
    <x:row r="19" ht="70" customHeight="1">
      <x:c r="A19" s="19" t="str">
        <x:v>结果与边界</x:v>
      </x:c>
      <x:c r="B19" s="19" t="str">
        <x:v>效应、稳健性、外部效度、作者局限</x:v>
      </x:c>
      <x:c r="C19" s="19" t="str">
        <x:v>防止过度解释本项目描述统计</x:v>
      </x:c>
      <x:c r="D19" s="19" t="str">
        <x:v>价值地图、公司画像</x:v>
      </x:c>
      <x:c r="E19" s="19" t="str">
        <x:v>只摘显著结果</x:v>
      </x:c>
      <x:c r="F19" s="19" t="str">
        <x:v>证据摘要</x:v>
      </x:c>
      <x:c r="G19" s="19" t="str">
        <x:v>YES</x:v>
      </x:c>
      <x:c r="H19" s="19" t="str">
        <x:v>PENDING</x:v>
      </x:c>
    </x:row>
  </x:sheetData>
  <x:mergeCells>
    <x:mergeCell ref="A1:H1"/>
    <x:mergeCell ref="A2:H2"/>
    <x:mergeCell ref="A4:H4"/>
    <x:mergeCell ref="A13:H13"/>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46" hidden="0" customWidth="1"/>
    <x:col min="3" max="3" width="18" hidden="0" customWidth="1"/>
    <x:col min="4" max="4" width="24" hidden="0" customWidth="1"/>
    <x:col min="5" max="5" width="16" hidden="0" customWidth="1"/>
    <x:col min="6" max="6" width="18" hidden="0" customWidth="1"/>
    <x:col min="7" max="7" width="20" hidden="0" customWidth="1"/>
    <x:col min="8" max="8" width="58" hidden="0" customWidth="1"/>
  </x:cols>
  <x:sheetData>
    <x:row r="1" ht="32" customHeight="1">
      <x:c r="A1" s="34" t="str">
        <x:v>Week 9 冻结验收</x:v>
      </x:c>
      <x:c r="B1" s="34"/>
      <x:c r="C1" s="34"/>
      <x:c r="D1" s="34"/>
      <x:c r="E1" s="34"/>
      <x:c r="F1" s="34"/>
      <x:c r="G1" s="34"/>
      <x:c r="H1" s="34"/>
    </x:row>
    <x:row r="2" ht="38" customHeight="1">
      <x:c r="A2" s="35" t="str">
        <x:v>公式检查与独立脚本共同验证行数、状态、修复、候选边界和最终选择状态。</x:v>
      </x:c>
      <x:c r="B2" s="35"/>
      <x:c r="C2" s="35"/>
      <x:c r="D2" s="35"/>
      <x:c r="E2" s="35"/>
      <x:c r="F2" s="35"/>
      <x:c r="G2" s="35"/>
      <x:c r="H2" s="35"/>
    </x:row>
    <x:row r="3">
      <x:c r="A3" s="36"/>
      <x:c r="B3" s="36"/>
      <x:c r="C3" s="36"/>
      <x:c r="D3" s="36"/>
      <x:c r="E3" s="36"/>
      <x:c r="F3" s="36"/>
      <x:c r="G3" s="36"/>
      <x:c r="H3" s="36"/>
    </x:row>
    <x:row r="4" ht="38" customHeight="1">
      <x:c r="A4" s="38" t="str">
        <x:v>检查ID</x:v>
      </x:c>
      <x:c r="B4" s="38" t="str">
        <x:v>检查项</x:v>
      </x:c>
      <x:c r="C4" s="38" t="str">
        <x:v>期望值</x:v>
      </x:c>
      <x:c r="D4" s="38" t="str">
        <x:v>实际值</x:v>
      </x:c>
      <x:c r="E4" s="38" t="str">
        <x:v>类型</x:v>
      </x:c>
      <x:c r="F4" s="38" t="str">
        <x:v>容差</x:v>
      </x:c>
      <x:c r="G4" s="38" t="str">
        <x:v>状态</x:v>
      </x:c>
      <x:c r="H4" s="38" t="str">
        <x:v>说明</x:v>
      </x:c>
    </x:row>
    <x:row r="5" ht="40" customHeight="1">
      <x:c r="A5" s="18" t="str">
        <x:v>W9F-001</x:v>
      </x:c>
      <x:c r="B5" s="18" t="str">
        <x:v>描述统计指标数</x:v>
      </x:c>
      <x:c r="C5" s="18" t="n">
        <x:v>6</x:v>
      </x:c>
      <x:c r="D5" s="18" t="n">
        <x:f>COUNTA('核心描述统计'!$A$5:$A$10)</x:f>
        <x:v>6</x:v>
      </x:c>
      <x:c r="E5" s="18" t="str">
        <x:v>数值</x:v>
      </x:c>
      <x:c r="F5" s="18" t="n">
        <x:v>0</x:v>
      </x:c>
      <x:c r="G5" s="32" t="str">
        <x:f>IF(ABS(C5-D5)&lt;=F5,"PASS","FAIL")</x:f>
        <x:v>PASS</x:v>
      </x:c>
      <x:c r="H5" s="18" t="str">
        <x:v>Stage2共6项</x:v>
      </x:c>
    </x:row>
    <x:row r="6" ht="40" customHeight="1">
      <x:c r="A6" s="18" t="str">
        <x:v>W9F-002</x:v>
      </x:c>
      <x:c r="B6" s="18" t="str">
        <x:v>候选变量数</x:v>
      </x:c>
      <x:c r="C6" s="18" t="n">
        <x:v>32</x:v>
      </x:c>
      <x:c r="D6" s="18" t="n">
        <x:f>COUNTA('变量字典'!$A$5:$A$36)</x:f>
        <x:v>32</x:v>
      </x:c>
      <x:c r="E6" s="18" t="str">
        <x:v>数值</x:v>
      </x:c>
      <x:c r="F6" s="18" t="n">
        <x:v>0</x:v>
      </x:c>
      <x:c r="G6" s="32" t="str">
        <x:f>IF(ABS(C6-D6)&lt;=F6,"PASS","FAIL")</x:f>
        <x:v>PASS</x:v>
      </x:c>
      <x:c r="H6" s="18" t="str">
        <x:v>变量ID CV001—CV032</x:v>
      </x:c>
    </x:row>
    <x:row r="7" ht="40" customHeight="1">
      <x:c r="A7" s="18" t="str">
        <x:v>W9F-003</x:v>
      </x:c>
      <x:c r="B7" s="18" t="str">
        <x:v>变量可用性记录数</x:v>
      </x:c>
      <x:c r="C7" s="18" t="n">
        <x:v>32</x:v>
      </x:c>
      <x:c r="D7" s="18" t="n">
        <x:f>COUNTA('变量可用性'!$A$5:$A$36)</x:f>
        <x:v>32</x:v>
      </x:c>
      <x:c r="E7" s="18" t="str">
        <x:v>数值</x:v>
      </x:c>
      <x:c r="F7" s="18" t="n">
        <x:v>0</x:v>
      </x:c>
      <x:c r="G7" s="32" t="str">
        <x:f>IF(ABS(C7-D7)&lt;=F7,"PASS","FAIL")</x:f>
        <x:v>PASS</x:v>
      </x:c>
      <x:c r="H7" s="18" t="str">
        <x:v>每变量一行</x:v>
      </x:c>
    </x:row>
    <x:row r="8" ht="40" customHeight="1">
      <x:c r="A8" s="18" t="str">
        <x:v>W9F-004</x:v>
      </x:c>
      <x:c r="B8" s="18" t="str">
        <x:v>公司—变量单元数</x:v>
      </x:c>
      <x:c r="C8" s="18" t="n">
        <x:v>256</x:v>
      </x:c>
      <x:c r="D8" s="18" t="n">
        <x:f>COUNTA('公司变量长表'!$A$5:$A$260)</x:f>
        <x:v>256</x:v>
      </x:c>
      <x:c r="E8" s="18" t="str">
        <x:v>数值</x:v>
      </x:c>
      <x:c r="F8" s="18" t="n">
        <x:v>0</x:v>
      </x:c>
      <x:c r="G8" s="32" t="str">
        <x:f>IF(ABS(C8-D8)&lt;=F8,"PASS","FAIL")</x:f>
        <x:v>PASS</x:v>
      </x:c>
      <x:c r="H8" s="18" t="str">
        <x:v>8×32</x:v>
      </x:c>
    </x:row>
    <x:row r="9" ht="40" customHeight="1">
      <x:c r="A9" s="18" t="str">
        <x:v>W9F-005</x:v>
      </x:c>
      <x:c r="B9" s="18" t="str">
        <x:v>VALID单元数</x:v>
      </x:c>
      <x:c r="C9" s="18" t="n">
        <x:v>215</x:v>
      </x:c>
      <x:c r="D9" s="18" t="n">
        <x:f>COUNTIF('公司变量长表'!$M$5:$M$260,"VALID")</x:f>
        <x:v>215</x:v>
      </x:c>
      <x:c r="E9" s="18" t="str">
        <x:v>数值</x:v>
      </x:c>
      <x:c r="F9" s="18" t="n">
        <x:v>0</x:v>
      </x:c>
      <x:c r="G9" s="32" t="str">
        <x:f>IF(ABS(C9-D9)&lt;=F9,"PASS","FAIL")</x:f>
        <x:v>PASS</x:v>
      </x:c>
      <x:c r="H9" s="18" t="str">
        <x:v>冻结状态</x:v>
      </x:c>
    </x:row>
    <x:row r="10" ht="40" customHeight="1">
      <x:c r="A10" s="18" t="str">
        <x:v>W9F-006</x:v>
      </x:c>
      <x:c r="B10" s="18" t="str">
        <x:v>STRUCTURAL_NA单元数</x:v>
      </x:c>
      <x:c r="C10" s="18" t="n">
        <x:v>38</x:v>
      </x:c>
      <x:c r="D10" s="18" t="n">
        <x:f>COUNTIF('公司变量长表'!$M$5:$M$260,"STRUCTURAL_NA")</x:f>
        <x:v>38</x:v>
      </x:c>
      <x:c r="E10" s="18" t="str">
        <x:v>数值</x:v>
      </x:c>
      <x:c r="F10" s="18" t="n">
        <x:v>0</x:v>
      </x:c>
      <x:c r="G10" s="32" t="str">
        <x:f>IF(ABS(C10-D10)&lt;=F10,"PASS","FAIL")</x:f>
        <x:v>PASS</x:v>
      </x:c>
      <x:c r="H10" s="18" t="str">
        <x:v>结构性不适用</x:v>
      </x:c>
    </x:row>
    <x:row r="11" ht="40" customHeight="1">
      <x:c r="A11" s="18" t="str">
        <x:v>W9F-007</x:v>
      </x:c>
      <x:c r="B11" s="18" t="str">
        <x:v>NOT_COMPUTABLE单元数</x:v>
      </x:c>
      <x:c r="C11" s="18" t="n">
        <x:v>3</x:v>
      </x:c>
      <x:c r="D11" s="18" t="n">
        <x:f>COUNTIF('公司变量长表'!$M$5:$M$260,"NOT_COMPUTABLE")</x:f>
        <x:v>3</x:v>
      </x:c>
      <x:c r="E11" s="18" t="str">
        <x:v>数值</x:v>
      </x:c>
      <x:c r="F11" s="18" t="n">
        <x:v>0</x:v>
      </x:c>
      <x:c r="G11" s="32" t="str">
        <x:f>IF(ABS(C11-D11)&lt;=F11,"PASS","FAIL")</x:f>
        <x:v>PASS</x:v>
      </x:c>
      <x:c r="H11" s="18" t="str">
        <x:v>不得插补</x:v>
      </x:c>
    </x:row>
    <x:row r="12" ht="40" customHeight="1">
      <x:c r="A12" s="18" t="str">
        <x:v>W9F-008</x:v>
      </x:c>
      <x:c r="B12" s="18" t="str">
        <x:v>三类最终状态合计</x:v>
      </x:c>
      <x:c r="C12" s="18" t="n">
        <x:v>256</x:v>
      </x:c>
      <x:c r="D12" s="18" t="n">
        <x:f>COUNTIF('公司变量长表'!$M$5:$M$260,"VALID")+COUNTIF('公司变量长表'!$M$5:$M$260,"STRUCTURAL_NA")+COUNTIF('公司变量长表'!$M$5:$M$260,"NOT_COMPUTABLE")</x:f>
        <x:v>256</x:v>
      </x:c>
      <x:c r="E12" s="18" t="str">
        <x:v>数值</x:v>
      </x:c>
      <x:c r="F12" s="18" t="n">
        <x:v>0</x:v>
      </x:c>
      <x:c r="G12" s="32" t="str">
        <x:f>IF(ABS(C12-D12)&lt;=F12,"PASS","FAIL")</x:f>
        <x:v>PASS</x:v>
      </x:c>
      <x:c r="H12" s="18" t="str">
        <x:v>状态闭合</x:v>
      </x:c>
    </x:row>
    <x:row r="13" ht="40" customHeight="1">
      <x:c r="A13" s="18" t="str">
        <x:v>W9F-009</x:v>
      </x:c>
      <x:c r="B13" s="18" t="str">
        <x:v>修复单元数</x:v>
      </x:c>
      <x:c r="C13" s="18" t="n">
        <x:v>10</x:v>
      </x:c>
      <x:c r="D13" s="18" t="n">
        <x:f>COUNTIF('公司变量长表'!$U$5:$U$260,"&lt;&gt;")</x:f>
        <x:v>10</x:v>
      </x:c>
      <x:c r="E13" s="18" t="str">
        <x:v>数值</x:v>
      </x:c>
      <x:c r="F13" s="18" t="n">
        <x:v>0</x:v>
      </x:c>
      <x:c r="G13" s="32" t="str">
        <x:f>IF(ABS(C13-D13)&lt;=F13,"PASS","FAIL")</x:f>
        <x:v>PASS</x:v>
      </x:c>
      <x:c r="H13" s="18" t="str">
        <x:v>Stage4B1—B4</x:v>
      </x:c>
    </x:row>
    <x:row r="14" ht="40" customHeight="1">
      <x:c r="A14" s="18" t="str">
        <x:v>W9F-010</x:v>
      </x:c>
      <x:c r="B14" s="18" t="str">
        <x:v>整合变量记录数</x:v>
      </x:c>
      <x:c r="C14" s="18" t="n">
        <x:v>32</x:v>
      </x:c>
      <x:c r="D14" s="18" t="n">
        <x:f>COUNTA('价值整合地图'!$A$5:$A$36)</x:f>
        <x:v>32</x:v>
      </x:c>
      <x:c r="E14" s="18" t="str">
        <x:v>数值</x:v>
      </x:c>
      <x:c r="F14" s="18" t="n">
        <x:v>0</x:v>
      </x:c>
      <x:c r="G14" s="32" t="str">
        <x:f>IF(ABS(C14-D14)&lt;=F14,"PASS","FAIL")</x:f>
        <x:v>PASS</x:v>
      </x:c>
      <x:c r="H14" s="18" t="str">
        <x:v>不生成综合总分</x:v>
      </x:c>
    </x:row>
    <x:row r="15" ht="40" customHeight="1">
      <x:c r="A15" s="18" t="str">
        <x:v>W9F-011</x:v>
      </x:c>
      <x:c r="B15" s="18" t="str">
        <x:v>公司画像数</x:v>
      </x:c>
      <x:c r="C15" s="18" t="n">
        <x:v>8</x:v>
      </x:c>
      <x:c r="D15" s="18" t="n">
        <x:f>COUNTA('公司画像'!$A$5:$A$12)</x:f>
        <x:v>8</x:v>
      </x:c>
      <x:c r="E15" s="18" t="str">
        <x:v>数值</x:v>
      </x:c>
      <x:c r="F15" s="18" t="n">
        <x:v>0</x:v>
      </x:c>
      <x:c r="G15" s="32" t="str">
        <x:f>IF(ABS(C15-D15)&lt;=F15,"PASS","FAIL")</x:f>
        <x:v>PASS</x:v>
      </x:c>
      <x:c r="H15" s="18" t="str">
        <x:v>8家公司</x:v>
      </x:c>
    </x:row>
    <x:row r="16" ht="40" customHeight="1">
      <x:c r="A16" s="18" t="str">
        <x:v>W9F-012</x:v>
      </x:c>
      <x:c r="B16" s="18" t="str">
        <x:v>候选组合数</x:v>
      </x:c>
      <x:c r="C16" s="18" t="n">
        <x:v>8</x:v>
      </x:c>
      <x:c r="D16" s="18" t="n">
        <x:f>COUNTA('候选组合暂存'!$A$5:$A$12)</x:f>
        <x:v>8</x:v>
      </x:c>
      <x:c r="E16" s="18" t="str">
        <x:v>数值</x:v>
      </x:c>
      <x:c r="F16" s="18" t="n">
        <x:v>0</x:v>
      </x:c>
      <x:c r="G16" s="32" t="str">
        <x:f>IF(ABS(C16-D16)&lt;=F16,"PASS","FAIL")</x:f>
        <x:v>PASS</x:v>
      </x:c>
      <x:c r="H16" s="18" t="str">
        <x:v>无排名</x:v>
      </x:c>
    </x:row>
    <x:row r="17" ht="40" customHeight="1">
      <x:c r="A17" s="18" t="str">
        <x:v>W9F-013</x:v>
      </x:c>
      <x:c r="B17" s="18" t="str">
        <x:v>最终选择数</x:v>
      </x:c>
      <x:c r="C17" s="18" t="n">
        <x:v>0</x:v>
      </x:c>
      <x:c r="D17" s="18" t="n">
        <x:f>COUNTIF('候选组合暂存'!$V$5:$V$12,"FINAL_SELECTED")</x:f>
        <x:v>0</x:v>
      </x:c>
      <x:c r="E17" s="18" t="str">
        <x:v>数值</x:v>
      </x:c>
      <x:c r="F17" s="18" t="n">
        <x:v>0</x:v>
      </x:c>
      <x:c r="G17" s="32" t="str">
        <x:f>IF(ABS(C17-D17)&lt;=F17,"PASS","FAIL")</x:f>
        <x:v>PASS</x:v>
      </x:c>
      <x:c r="H17" s="18" t="str">
        <x:v>Week9明确延后</x:v>
      </x:c>
    </x:row>
    <x:row r="18" ht="40" customHeight="1">
      <x:c r="A18" s="18" t="str">
        <x:v>W9F-014</x:v>
      </x:c>
      <x:c r="B18" s="18" t="str">
        <x:v>阶段成果文件数</x:v>
      </x:c>
      <x:c r="C18" s="18" t="n">
        <x:v>16</x:v>
      </x:c>
      <x:c r="D18" s="18" t="n">
        <x:f>COUNTA('阶段成果清单'!$A$5:$A$20)</x:f>
        <x:v>16</x:v>
      </x:c>
      <x:c r="E18" s="18" t="str">
        <x:v>数值</x:v>
      </x:c>
      <x:c r="F18" s="18" t="n">
        <x:v>0</x:v>
      </x:c>
      <x:c r="G18" s="32" t="str">
        <x:f>IF(ABS(C18-D18)&lt;=F18,"PASS","FAIL")</x:f>
        <x:v>PASS</x:v>
      </x:c>
      <x:c r="H18" s="18" t="str">
        <x:v>全阶段可追溯</x:v>
      </x:c>
    </x:row>
    <x:row r="19" ht="40" customHeight="1">
      <x:c r="A19" s="19" t="str">
        <x:v>W9F-015</x:v>
      </x:c>
      <x:c r="B19" s="19" t="str">
        <x:v>基础样本公司数</x:v>
      </x:c>
      <x:c r="C19" s="19" t="n">
        <x:v>8</x:v>
      </x:c>
      <x:c r="D19" s="19" t="n">
        <x:f>COUNTA('公司画像'!$A$5:$A$12)</x:f>
        <x:v>8</x:v>
      </x:c>
      <x:c r="E19" s="19" t="str">
        <x:v>数值</x:v>
      </x:c>
      <x:c r="F19" s="19" t="n">
        <x:v>0</x:v>
      </x:c>
      <x:c r="G19" s="33" t="str">
        <x:f>IF(ABS(C19-D19)&lt;=F19,"PASS","FAIL")</x:f>
        <x:v>PASS</x:v>
      </x:c>
      <x:c r="H19" s="19" t="str">
        <x:v>不得外推总体</x:v>
      </x:c>
    </x:row>
    <x:row r="20">
      <x:c r="A20" s="36"/>
      <x:c r="B20" s="36"/>
      <x:c r="C20" s="36"/>
      <x:c r="D20" s="36"/>
      <x:c r="E20" s="36"/>
      <x:c r="F20" s="36"/>
      <x:c r="G20" s="36"/>
      <x:c r="H20" s="36"/>
    </x:row>
    <x:row r="21" ht="25" customHeight="1">
      <x:c r="A21" s="37" t="str">
        <x:v>最终冻结状态</x:v>
      </x:c>
      <x:c r="B21" s="37"/>
      <x:c r="C21" s="37"/>
      <x:c r="D21" s="37"/>
      <x:c r="E21" s="37"/>
      <x:c r="F21" s="37"/>
      <x:c r="G21" s="37"/>
      <x:c r="H21" s="37"/>
    </x:row>
    <x:row r="22" ht="32" customHeight="1">
      <x:c r="A22" s="39" t="str">
        <x:v>WEEK9_FREEZE_STATUS</x:v>
      </x:c>
      <x:c r="B22" s="39" t="str">
        <x:f>IF(COUNTIF(G5:G19,"FAIL")=0,"PASS","REVIEW")</x:f>
        <x:v>PASS</x:v>
      </x:c>
      <x:c r="C22" s="39"/>
      <x:c r="D22" s="39"/>
      <x:c r="E22" s="39"/>
      <x:c r="F22" s="39"/>
      <x:c r="G22" s="39"/>
      <x:c r="H22" s="39"/>
    </x:row>
  </x:sheetData>
  <x:mergeCells>
    <x:mergeCell ref="A1:H1"/>
    <x:mergeCell ref="A2:H2"/>
    <x:mergeCell ref="A21:H21"/>
    <x:mergeCell ref="B22:H22"/>
  </x:mergeCells>
  <x:pageMargins left="0.7" right="0.7" top="0.75" bottom="0.75" header="0.3" footer="0.3"/>
</x:worksheet>
</file>